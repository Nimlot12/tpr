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Никита\Desktop\tpr\"/>
    </mc:Choice>
  </mc:AlternateContent>
  <bookViews>
    <workbookView xWindow="0" yWindow="0" windowWidth="18324" windowHeight="8808" activeTab="1"/>
  </bookViews>
  <sheets>
    <sheet name="Лист1" sheetId="1" r:id="rId1"/>
    <sheet name="Лист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2" l="1"/>
  <c r="K6" i="2"/>
  <c r="K33" i="1" l="1"/>
  <c r="J33" i="1"/>
  <c r="J29" i="1"/>
  <c r="K29" i="1"/>
  <c r="I29" i="1"/>
  <c r="J28" i="1"/>
  <c r="K28" i="1"/>
  <c r="I28" i="1"/>
  <c r="J19" i="1"/>
  <c r="I19" i="1"/>
  <c r="J16" i="1"/>
  <c r="J15" i="1"/>
  <c r="J14" i="1"/>
  <c r="I7" i="1"/>
  <c r="G7" i="1"/>
  <c r="H7" i="1"/>
  <c r="F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7" i="1"/>
</calcChain>
</file>

<file path=xl/sharedStrings.xml><?xml version="1.0" encoding="utf-8"?>
<sst xmlns="http://schemas.openxmlformats.org/spreadsheetml/2006/main" count="25" uniqueCount="23">
  <si>
    <t>кредитный калькулятор для возрастной категории 25-35 лет</t>
  </si>
  <si>
    <t>min</t>
  </si>
  <si>
    <t>max</t>
  </si>
  <si>
    <t>sredzn</t>
  </si>
  <si>
    <t>otkl</t>
  </si>
  <si>
    <r>
      <t>x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</si>
  <si>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xy</t>
  </si>
  <si>
    <t>cумм х</t>
  </si>
  <si>
    <t>сумм ху</t>
  </si>
  <si>
    <r>
      <t>сумм х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</si>
  <si>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сумм у</t>
  </si>
  <si>
    <t>matrix</t>
  </si>
  <si>
    <t>опр</t>
  </si>
  <si>
    <t>опр1</t>
  </si>
  <si>
    <t>опр2</t>
  </si>
  <si>
    <t>matrix1</t>
  </si>
  <si>
    <t>matrix2</t>
  </si>
  <si>
    <t>а</t>
  </si>
  <si>
    <t>в</t>
  </si>
  <si>
    <t>кредитный калькулятор</t>
  </si>
  <si>
    <t>введите ваш доход</t>
  </si>
  <si>
    <t>введите ваш кредит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</si>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</sst>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9" xfId="0" applyFill="1" applyBorder="1"/>
    <xf numFmtId="0" fontId="0" fillId="2" borderId="7" xfId="0" applyFill="1" applyBorder="1"/>
    <xf numFmtId="0" fontId="0" fillId="0" borderId="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Лист1!$C$7:$C$406</c:f>
              <c:numCache>
                <c:formatCode>General</c:formatCode>
                <c:ptCount val="40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25.399120000656694</c:v>
                </c:pt>
                <c:pt idx="9">
                  <c:v>27.941157692112029</c:v>
                </c:pt>
                <c:pt idx="10">
                  <c:v>46.972334326710552</c:v>
                </c:pt>
                <c:pt idx="11">
                  <c:v>60.719346744008362</c:v>
                </c:pt>
                <c:pt idx="12">
                  <c:v>76.544554554857314</c:v>
                </c:pt>
                <c:pt idx="13">
                  <c:v>78.850123623851687</c:v>
                </c:pt>
                <c:pt idx="14">
                  <c:v>107.75386524619535</c:v>
                </c:pt>
                <c:pt idx="15">
                  <c:v>135.65716269658878</c:v>
                </c:pt>
                <c:pt idx="16">
                  <c:v>151.25044935848564</c:v>
                </c:pt>
                <c:pt idx="17">
                  <c:v>166.36852503870614</c:v>
                </c:pt>
                <c:pt idx="18">
                  <c:v>176.0387274553068</c:v>
                </c:pt>
                <c:pt idx="19">
                  <c:v>186.56158115481958</c:v>
                </c:pt>
                <c:pt idx="20">
                  <c:v>188.28052614117041</c:v>
                </c:pt>
                <c:pt idx="21">
                  <c:v>189.70615908619948</c:v>
                </c:pt>
                <c:pt idx="22">
                  <c:v>191.12497082096525</c:v>
                </c:pt>
                <c:pt idx="23">
                  <c:v>198.39865469839424</c:v>
                </c:pt>
                <c:pt idx="24">
                  <c:v>201.97296887636185</c:v>
                </c:pt>
                <c:pt idx="25">
                  <c:v>213.12110018334351</c:v>
                </c:pt>
                <c:pt idx="26">
                  <c:v>217.18426776351407</c:v>
                </c:pt>
                <c:pt idx="27">
                  <c:v>224.90815151832066</c:v>
                </c:pt>
                <c:pt idx="28">
                  <c:v>239.70108284265734</c:v>
                </c:pt>
                <c:pt idx="29">
                  <c:v>259.1710906708613</c:v>
                </c:pt>
                <c:pt idx="30">
                  <c:v>269.00159152864944</c:v>
                </c:pt>
                <c:pt idx="31">
                  <c:v>271.2218954693526</c:v>
                </c:pt>
                <c:pt idx="32">
                  <c:v>281.79022390395403</c:v>
                </c:pt>
                <c:pt idx="33">
                  <c:v>283.18402453442104</c:v>
                </c:pt>
                <c:pt idx="34">
                  <c:v>289.43339000397827</c:v>
                </c:pt>
                <c:pt idx="35">
                  <c:v>302.62447378481738</c:v>
                </c:pt>
                <c:pt idx="36">
                  <c:v>304.44118945160881</c:v>
                </c:pt>
                <c:pt idx="37">
                  <c:v>306.2488101713825</c:v>
                </c:pt>
                <c:pt idx="38">
                  <c:v>307.1492099261377</c:v>
                </c:pt>
                <c:pt idx="39">
                  <c:v>314.07501208013855</c:v>
                </c:pt>
                <c:pt idx="40">
                  <c:v>344.63176032295399</c:v>
                </c:pt>
                <c:pt idx="41">
                  <c:v>351.07894089014735</c:v>
                </c:pt>
                <c:pt idx="42">
                  <c:v>368.95392238511704</c:v>
                </c:pt>
                <c:pt idx="43">
                  <c:v>369.88615445443429</c:v>
                </c:pt>
                <c:pt idx="44">
                  <c:v>371.57440399460029</c:v>
                </c:pt>
                <c:pt idx="45">
                  <c:v>373.25583232450299</c:v>
                </c:pt>
                <c:pt idx="46">
                  <c:v>381.80735625792295</c:v>
                </c:pt>
                <c:pt idx="47">
                  <c:v>391.94708531431388</c:v>
                </c:pt>
                <c:pt idx="48">
                  <c:v>394.42432150826789</c:v>
                </c:pt>
                <c:pt idx="49">
                  <c:v>413.87386570568196</c:v>
                </c:pt>
                <c:pt idx="50">
                  <c:v>419.23874757776503</c:v>
                </c:pt>
                <c:pt idx="51">
                  <c:v>427.27413326792885</c:v>
                </c:pt>
                <c:pt idx="52">
                  <c:v>430.06514513399452</c:v>
                </c:pt>
                <c:pt idx="53">
                  <c:v>437.40249364054762</c:v>
                </c:pt>
                <c:pt idx="54">
                  <c:v>439.48637337598484</c:v>
                </c:pt>
                <c:pt idx="55">
                  <c:v>442.4877058918355</c:v>
                </c:pt>
                <c:pt idx="56">
                  <c:v>449.62382869562134</c:v>
                </c:pt>
                <c:pt idx="57">
                  <c:v>454.98984743608162</c:v>
                </c:pt>
                <c:pt idx="58">
                  <c:v>466.95766084303614</c:v>
                </c:pt>
                <c:pt idx="59">
                  <c:v>471.19249554816633</c:v>
                </c:pt>
                <c:pt idx="60">
                  <c:v>473.3286712289555</c:v>
                </c:pt>
                <c:pt idx="61">
                  <c:v>474.39391689840704</c:v>
                </c:pt>
                <c:pt idx="62">
                  <c:v>481.64941088180058</c:v>
                </c:pt>
                <c:pt idx="63">
                  <c:v>483.08754937897902</c:v>
                </c:pt>
                <c:pt idx="64">
                  <c:v>483.5434335982427</c:v>
                </c:pt>
                <c:pt idx="65">
                  <c:v>489.37784211011603</c:v>
                </c:pt>
                <c:pt idx="66">
                  <c:v>491.75617075525224</c:v>
                </c:pt>
                <c:pt idx="67">
                  <c:v>495.5874171864707</c:v>
                </c:pt>
                <c:pt idx="68">
                  <c:v>501.90954223216977</c:v>
                </c:pt>
                <c:pt idx="69">
                  <c:v>506.10117593896575</c:v>
                </c:pt>
                <c:pt idx="70">
                  <c:v>506.10117593896575</c:v>
                </c:pt>
                <c:pt idx="71">
                  <c:v>517.55967231292743</c:v>
                </c:pt>
                <c:pt idx="72">
                  <c:v>534.81847114744596</c:v>
                </c:pt>
                <c:pt idx="73">
                  <c:v>538.22793941071723</c:v>
                </c:pt>
                <c:pt idx="74">
                  <c:v>542.42980493290816</c:v>
                </c:pt>
                <c:pt idx="75">
                  <c:v>552.6832208270207</c:v>
                </c:pt>
                <c:pt idx="76">
                  <c:v>553.7098129716469</c:v>
                </c:pt>
                <c:pt idx="77">
                  <c:v>557.06016407930292</c:v>
                </c:pt>
                <c:pt idx="78">
                  <c:v>558.53127175942063</c:v>
                </c:pt>
                <c:pt idx="79">
                  <c:v>558.98260850517545</c:v>
                </c:pt>
                <c:pt idx="80">
                  <c:v>563.2003901846474</c:v>
                </c:pt>
                <c:pt idx="81">
                  <c:v>565.93796923698392</c:v>
                </c:pt>
                <c:pt idx="82">
                  <c:v>566.94068714568857</c:v>
                </c:pt>
                <c:pt idx="83">
                  <c:v>569.99431560689118</c:v>
                </c:pt>
                <c:pt idx="84">
                  <c:v>579.16770654264838</c:v>
                </c:pt>
                <c:pt idx="85">
                  <c:v>592.42927616287488</c:v>
                </c:pt>
                <c:pt idx="86">
                  <c:v>602.74067234422546</c:v>
                </c:pt>
                <c:pt idx="87">
                  <c:v>603.89345687872265</c:v>
                </c:pt>
                <c:pt idx="88">
                  <c:v>608.48299451754428</c:v>
                </c:pt>
                <c:pt idx="89">
                  <c:v>613.45338306273334</c:v>
                </c:pt>
                <c:pt idx="90">
                  <c:v>613.86492941528559</c:v>
                </c:pt>
                <c:pt idx="91">
                  <c:v>617.36079967522528</c:v>
                </c:pt>
                <c:pt idx="92">
                  <c:v>623.99101605114993</c:v>
                </c:pt>
                <c:pt idx="93">
                  <c:v>630.25402394123375</c:v>
                </c:pt>
                <c:pt idx="94">
                  <c:v>635.31365665403428</c:v>
                </c:pt>
                <c:pt idx="95">
                  <c:v>646.5498952602502</c:v>
                </c:pt>
                <c:pt idx="96">
                  <c:v>646.648802809068</c:v>
                </c:pt>
                <c:pt idx="97">
                  <c:v>650.12648317497224</c:v>
                </c:pt>
                <c:pt idx="98">
                  <c:v>650.76085572945885</c:v>
                </c:pt>
                <c:pt idx="99">
                  <c:v>651.1513700170326</c:v>
                </c:pt>
                <c:pt idx="100">
                  <c:v>655.96543916035444</c:v>
                </c:pt>
                <c:pt idx="101">
                  <c:v>658.0947936308803</c:v>
                </c:pt>
                <c:pt idx="102">
                  <c:v>658.43301197310211</c:v>
                </c:pt>
                <c:pt idx="103">
                  <c:v>658.96449793945067</c:v>
                </c:pt>
                <c:pt idx="104">
                  <c:v>661.22913974686526</c:v>
                </c:pt>
                <c:pt idx="105">
                  <c:v>661.27688821870834</c:v>
                </c:pt>
                <c:pt idx="106">
                  <c:v>664.92509884119499</c:v>
                </c:pt>
                <c:pt idx="107">
                  <c:v>665.16384120041039</c:v>
                </c:pt>
                <c:pt idx="108">
                  <c:v>670.26838021411095</c:v>
                </c:pt>
                <c:pt idx="109">
                  <c:v>681.500071346818</c:v>
                </c:pt>
                <c:pt idx="110">
                  <c:v>683.04450703726616</c:v>
                </c:pt>
                <c:pt idx="111">
                  <c:v>690.58421811496373</c:v>
                </c:pt>
                <c:pt idx="112">
                  <c:v>692.38842822960578</c:v>
                </c:pt>
                <c:pt idx="113">
                  <c:v>692.98926316696452</c:v>
                </c:pt>
                <c:pt idx="114">
                  <c:v>696.35382512933575</c:v>
                </c:pt>
                <c:pt idx="115">
                  <c:v>699.38357935461681</c:v>
                </c:pt>
                <c:pt idx="116">
                  <c:v>710.2656834613299</c:v>
                </c:pt>
                <c:pt idx="117">
                  <c:v>713.47165228507947</c:v>
                </c:pt>
                <c:pt idx="118">
                  <c:v>714.50847624510061</c:v>
                </c:pt>
                <c:pt idx="119">
                  <c:v>715.31792652967852</c:v>
                </c:pt>
                <c:pt idx="120">
                  <c:v>717.3847532394575</c:v>
                </c:pt>
                <c:pt idx="121">
                  <c:v>718.14759192056954</c:v>
                </c:pt>
                <c:pt idx="122">
                  <c:v>726.35919220920186</c:v>
                </c:pt>
                <c:pt idx="123">
                  <c:v>731.10107021057047</c:v>
                </c:pt>
                <c:pt idx="124">
                  <c:v>732.20496940484736</c:v>
                </c:pt>
                <c:pt idx="125">
                  <c:v>738.01436681242194</c:v>
                </c:pt>
                <c:pt idx="126">
                  <c:v>738.54130530526163</c:v>
                </c:pt>
                <c:pt idx="127">
                  <c:v>747.18548401142471</c:v>
                </c:pt>
                <c:pt idx="128">
                  <c:v>748.57530560257146</c:v>
                </c:pt>
                <c:pt idx="129">
                  <c:v>750.69954416539986</c:v>
                </c:pt>
                <c:pt idx="130">
                  <c:v>756.01326696050819</c:v>
                </c:pt>
                <c:pt idx="131">
                  <c:v>765.96086526114959</c:v>
                </c:pt>
                <c:pt idx="132">
                  <c:v>769.24186739779543</c:v>
                </c:pt>
                <c:pt idx="133">
                  <c:v>771.96182499028509</c:v>
                </c:pt>
                <c:pt idx="134">
                  <c:v>777.67629388836212</c:v>
                </c:pt>
                <c:pt idx="135">
                  <c:v>780.71286932390649</c:v>
                </c:pt>
                <c:pt idx="136">
                  <c:v>783.27878125128336</c:v>
                </c:pt>
                <c:pt idx="137">
                  <c:v>784.24455093772849</c:v>
                </c:pt>
                <c:pt idx="138">
                  <c:v>786.92812874214724</c:v>
                </c:pt>
                <c:pt idx="139">
                  <c:v>787.05375269782962</c:v>
                </c:pt>
                <c:pt idx="140">
                  <c:v>788.22586399473948</c:v>
                </c:pt>
                <c:pt idx="141">
                  <c:v>793.52764967188705</c:v>
                </c:pt>
                <c:pt idx="142">
                  <c:v>793.56914536765544</c:v>
                </c:pt>
                <c:pt idx="143">
                  <c:v>797.85229697881732</c:v>
                </c:pt>
                <c:pt idx="144">
                  <c:v>808.18586209352361</c:v>
                </c:pt>
                <c:pt idx="145">
                  <c:v>813.23981046443805</c:v>
                </c:pt>
                <c:pt idx="146">
                  <c:v>814.51082931016572</c:v>
                </c:pt>
                <c:pt idx="147">
                  <c:v>817.29445153177949</c:v>
                </c:pt>
                <c:pt idx="148">
                  <c:v>819.62332640250679</c:v>
                </c:pt>
                <c:pt idx="149">
                  <c:v>821.13251917326124</c:v>
                </c:pt>
                <c:pt idx="150">
                  <c:v>821.86636771075428</c:v>
                </c:pt>
                <c:pt idx="151">
                  <c:v>823.21071456681238</c:v>
                </c:pt>
                <c:pt idx="152">
                  <c:v>823.21071456681238</c:v>
                </c:pt>
                <c:pt idx="153">
                  <c:v>824.43171120394254</c:v>
                </c:pt>
                <c:pt idx="154">
                  <c:v>826.01707415597048</c:v>
                </c:pt>
                <c:pt idx="155">
                  <c:v>830.07569426263217</c:v>
                </c:pt>
                <c:pt idx="156">
                  <c:v>836.46432610839838</c:v>
                </c:pt>
                <c:pt idx="157">
                  <c:v>844.91523719043471</c:v>
                </c:pt>
                <c:pt idx="158">
                  <c:v>849.08356509549776</c:v>
                </c:pt>
                <c:pt idx="159">
                  <c:v>850.40403771563433</c:v>
                </c:pt>
                <c:pt idx="160">
                  <c:v>853.92037160636391</c:v>
                </c:pt>
                <c:pt idx="161">
                  <c:v>854.63887242076453</c:v>
                </c:pt>
                <c:pt idx="162">
                  <c:v>855.99515639478341</c:v>
                </c:pt>
                <c:pt idx="163">
                  <c:v>858.50479333748808</c:v>
                </c:pt>
                <c:pt idx="164">
                  <c:v>861.2497620342765</c:v>
                </c:pt>
                <c:pt idx="165">
                  <c:v>864.22835718258284</c:v>
                </c:pt>
                <c:pt idx="166">
                  <c:v>870.52774486073758</c:v>
                </c:pt>
                <c:pt idx="167">
                  <c:v>872.10912877344526</c:v>
                </c:pt>
                <c:pt idx="168">
                  <c:v>874.47949933994096</c:v>
                </c:pt>
                <c:pt idx="169">
                  <c:v>881.84754329267889</c:v>
                </c:pt>
                <c:pt idx="170">
                  <c:v>882.75192208675435</c:v>
                </c:pt>
                <c:pt idx="171">
                  <c:v>883.1845005042851</c:v>
                </c:pt>
                <c:pt idx="172">
                  <c:v>884.48109888850013</c:v>
                </c:pt>
                <c:pt idx="173">
                  <c:v>891.81503678992158</c:v>
                </c:pt>
                <c:pt idx="174">
                  <c:v>897.48573625547579</c:v>
                </c:pt>
                <c:pt idx="175">
                  <c:v>899.24276633246336</c:v>
                </c:pt>
                <c:pt idx="176">
                  <c:v>899.55540513619781</c:v>
                </c:pt>
                <c:pt idx="177">
                  <c:v>908.55485521024093</c:v>
                </c:pt>
                <c:pt idx="178">
                  <c:v>908.67195265309419</c:v>
                </c:pt>
                <c:pt idx="179">
                  <c:v>912.6748662092723</c:v>
                </c:pt>
                <c:pt idx="180">
                  <c:v>915.23679909732891</c:v>
                </c:pt>
                <c:pt idx="181">
                  <c:v>920.50959463085746</c:v>
                </c:pt>
                <c:pt idx="182">
                  <c:v>926.74020177219063</c:v>
                </c:pt>
                <c:pt idx="183">
                  <c:v>935.42814991087653</c:v>
                </c:pt>
                <c:pt idx="184">
                  <c:v>939.32192410284188</c:v>
                </c:pt>
                <c:pt idx="185">
                  <c:v>940.51620433310745</c:v>
                </c:pt>
                <c:pt idx="186">
                  <c:v>942.7495822601486</c:v>
                </c:pt>
                <c:pt idx="187">
                  <c:v>947.2521494681132</c:v>
                </c:pt>
                <c:pt idx="188">
                  <c:v>947.44484865805134</c:v>
                </c:pt>
                <c:pt idx="189">
                  <c:v>948.5601165361004</c:v>
                </c:pt>
                <c:pt idx="190">
                  <c:v>955.20738593768328</c:v>
                </c:pt>
                <c:pt idx="191">
                  <c:v>956.28286342252977</c:v>
                </c:pt>
                <c:pt idx="192">
                  <c:v>959.46893704967806</c:v>
                </c:pt>
                <c:pt idx="193">
                  <c:v>961.65570337325335</c:v>
                </c:pt>
                <c:pt idx="194">
                  <c:v>966.25774656422436</c:v>
                </c:pt>
                <c:pt idx="195">
                  <c:v>973.84463767957641</c:v>
                </c:pt>
                <c:pt idx="196">
                  <c:v>975.56813013943611</c:v>
                </c:pt>
                <c:pt idx="197">
                  <c:v>979.81831256765872</c:v>
                </c:pt>
                <c:pt idx="198">
                  <c:v>983.1862851351616</c:v>
                </c:pt>
                <c:pt idx="199">
                  <c:v>984.67899331444642</c:v>
                </c:pt>
                <c:pt idx="200">
                  <c:v>985.63566805387381</c:v>
                </c:pt>
                <c:pt idx="201">
                  <c:v>991.79522092163097</c:v>
                </c:pt>
                <c:pt idx="202">
                  <c:v>992.2545157460263</c:v>
                </c:pt>
                <c:pt idx="203">
                  <c:v>997.15043941250769</c:v>
                </c:pt>
                <c:pt idx="204">
                  <c:v>997.38008682470536</c:v>
                </c:pt>
                <c:pt idx="205">
                  <c:v>997.83881321491208</c:v>
                </c:pt>
                <c:pt idx="206">
                  <c:v>1010.1175601230352</c:v>
                </c:pt>
                <c:pt idx="207">
                  <c:v>1012.1838183986256</c:v>
                </c:pt>
                <c:pt idx="208">
                  <c:v>1014.5939793583238</c:v>
                </c:pt>
                <c:pt idx="209">
                  <c:v>1016.3925051310798</c:v>
                </c:pt>
                <c:pt idx="210">
                  <c:v>1019.4165750144748</c:v>
                </c:pt>
                <c:pt idx="211">
                  <c:v>1022.7470309255295</c:v>
                </c:pt>
                <c:pt idx="212">
                  <c:v>1027.3428213404259</c:v>
                </c:pt>
                <c:pt idx="213">
                  <c:v>1028.2619794234051</c:v>
                </c:pt>
                <c:pt idx="214">
                  <c:v>1028.376803129504</c:v>
                </c:pt>
                <c:pt idx="215">
                  <c:v>1030.5612957163248</c:v>
                </c:pt>
                <c:pt idx="216">
                  <c:v>1031.0205905407201</c:v>
                </c:pt>
                <c:pt idx="217">
                  <c:v>1031.9789705827134</c:v>
                </c:pt>
                <c:pt idx="218">
                  <c:v>1033.512606023578</c:v>
                </c:pt>
                <c:pt idx="219">
                  <c:v>1042.2198809246765</c:v>
                </c:pt>
                <c:pt idx="220">
                  <c:v>1043.2947899753344</c:v>
                </c:pt>
                <c:pt idx="221">
                  <c:v>1044.0627445641439</c:v>
                </c:pt>
                <c:pt idx="222">
                  <c:v>1048.4419615531806</c:v>
                </c:pt>
                <c:pt idx="223">
                  <c:v>1049.1337459607166</c:v>
                </c:pt>
                <c:pt idx="224">
                  <c:v>1050.1330532642896</c:v>
                </c:pt>
                <c:pt idx="225">
                  <c:v>1051.6325826538377</c:v>
                </c:pt>
                <c:pt idx="226">
                  <c:v>1051.7866283189505</c:v>
                </c:pt>
                <c:pt idx="227">
                  <c:v>1052.7091970070614</c:v>
                </c:pt>
                <c:pt idx="228">
                  <c:v>1053.9017719347612</c:v>
                </c:pt>
                <c:pt idx="229">
                  <c:v>1056.4034507988254</c:v>
                </c:pt>
                <c:pt idx="230">
                  <c:v>1056.6342350794002</c:v>
                </c:pt>
                <c:pt idx="231">
                  <c:v>1059.9072791374056</c:v>
                </c:pt>
                <c:pt idx="232">
                  <c:v>1063.0677732260665</c:v>
                </c:pt>
                <c:pt idx="233">
                  <c:v>1068.7782630848233</c:v>
                </c:pt>
                <c:pt idx="234">
                  <c:v>1073.3757588022854</c:v>
                </c:pt>
                <c:pt idx="235">
                  <c:v>1078.2125653131516</c:v>
                </c:pt>
                <c:pt idx="236">
                  <c:v>1084.2589997773757</c:v>
                </c:pt>
                <c:pt idx="237">
                  <c:v>1091.9897047424456</c:v>
                </c:pt>
                <c:pt idx="238">
                  <c:v>1094.4021394388983</c:v>
                </c:pt>
                <c:pt idx="239">
                  <c:v>1097.9872538664495</c:v>
                </c:pt>
                <c:pt idx="240">
                  <c:v>1099.2349669104442</c:v>
                </c:pt>
                <c:pt idx="241">
                  <c:v>1109.0461410058197</c:v>
                </c:pt>
                <c:pt idx="242">
                  <c:v>1111.633084998175</c:v>
                </c:pt>
                <c:pt idx="243">
                  <c:v>1112.1821924243704</c:v>
                </c:pt>
                <c:pt idx="244">
                  <c:v>1112.9274096456356</c:v>
                </c:pt>
                <c:pt idx="245">
                  <c:v>1116.4619334304007</c:v>
                </c:pt>
                <c:pt idx="246">
                  <c:v>1117.3265218312736</c:v>
                </c:pt>
                <c:pt idx="247">
                  <c:v>1119.0966258945991</c:v>
                </c:pt>
                <c:pt idx="248">
                  <c:v>1121.4198164234404</c:v>
                </c:pt>
                <c:pt idx="249">
                  <c:v>1126.4680804524687</c:v>
                </c:pt>
                <c:pt idx="250">
                  <c:v>1130.9757635681308</c:v>
                </c:pt>
                <c:pt idx="251">
                  <c:v>1133.2330157310935</c:v>
                </c:pt>
                <c:pt idx="252">
                  <c:v>1133.2330157310935</c:v>
                </c:pt>
                <c:pt idx="253">
                  <c:v>1133.6695731879445</c:v>
                </c:pt>
                <c:pt idx="254">
                  <c:v>1159.143382916227</c:v>
                </c:pt>
                <c:pt idx="255">
                  <c:v>1159.5458343217615</c:v>
                </c:pt>
                <c:pt idx="256">
                  <c:v>1163.4953150642104</c:v>
                </c:pt>
                <c:pt idx="257">
                  <c:v>1164.3428504394251</c:v>
                </c:pt>
                <c:pt idx="258">
                  <c:v>1171.4653308226843</c:v>
                </c:pt>
                <c:pt idx="259">
                  <c:v>1174.9987177390722</c:v>
                </c:pt>
                <c:pt idx="260">
                  <c:v>1175.3244305291446</c:v>
                </c:pt>
                <c:pt idx="261">
                  <c:v>1178.5411996024777</c:v>
                </c:pt>
                <c:pt idx="262">
                  <c:v>1185.3663889050949</c:v>
                </c:pt>
                <c:pt idx="263">
                  <c:v>1193.2556870087865</c:v>
                </c:pt>
                <c:pt idx="264">
                  <c:v>1195.8551365532912</c:v>
                </c:pt>
                <c:pt idx="265">
                  <c:v>1199.8671450564871</c:v>
                </c:pt>
                <c:pt idx="266">
                  <c:v>1205.0984448942472</c:v>
                </c:pt>
                <c:pt idx="267">
                  <c:v>1208.4732386720134</c:v>
                </c:pt>
                <c:pt idx="268">
                  <c:v>1210.6031615767279</c:v>
                </c:pt>
                <c:pt idx="269">
                  <c:v>1212.1089437423507</c:v>
                </c:pt>
                <c:pt idx="270">
                  <c:v>1216.0913936677389</c:v>
                </c:pt>
                <c:pt idx="271">
                  <c:v>1216.4273382732063</c:v>
                </c:pt>
                <c:pt idx="272">
                  <c:v>1220.0454218836967</c:v>
                </c:pt>
                <c:pt idx="273">
                  <c:v>1224.7747943329159</c:v>
                </c:pt>
                <c:pt idx="274">
                  <c:v>1226.2993348267628</c:v>
                </c:pt>
                <c:pt idx="275">
                  <c:v>1236.1753104196396</c:v>
                </c:pt>
                <c:pt idx="276">
                  <c:v>1240.5027998975129</c:v>
                </c:pt>
                <c:pt idx="277">
                  <c:v>1241.662974076462</c:v>
                </c:pt>
                <c:pt idx="278">
                  <c:v>1243.9867330394918</c:v>
                </c:pt>
                <c:pt idx="279">
                  <c:v>1244.9780822644243</c:v>
                </c:pt>
                <c:pt idx="280">
                  <c:v>1248.910509981215</c:v>
                </c:pt>
                <c:pt idx="281">
                  <c:v>1250.1667495380389</c:v>
                </c:pt>
                <c:pt idx="282">
                  <c:v>1260.8885552035645</c:v>
                </c:pt>
                <c:pt idx="283">
                  <c:v>1271.2886271183379</c:v>
                </c:pt>
                <c:pt idx="284">
                  <c:v>1277.9160013233195</c:v>
                </c:pt>
                <c:pt idx="285">
                  <c:v>1278.2280716928653</c:v>
                </c:pt>
                <c:pt idx="286">
                  <c:v>1280.4188170557609</c:v>
                </c:pt>
                <c:pt idx="287">
                  <c:v>1282.1218458848307</c:v>
                </c:pt>
                <c:pt idx="288">
                  <c:v>1285.447185888188</c:v>
                </c:pt>
                <c:pt idx="289">
                  <c:v>1285.8075731637655</c:v>
                </c:pt>
                <c:pt idx="290">
                  <c:v>1289.5080797316041</c:v>
                </c:pt>
                <c:pt idx="291">
                  <c:v>1292.4531372627825</c:v>
                </c:pt>
                <c:pt idx="292">
                  <c:v>1294.3613708339399</c:v>
                </c:pt>
                <c:pt idx="293">
                  <c:v>1300.8449311892036</c:v>
                </c:pt>
                <c:pt idx="294">
                  <c:v>1301.3497007486876</c:v>
                </c:pt>
                <c:pt idx="295">
                  <c:v>1309.7864009760087</c:v>
                </c:pt>
                <c:pt idx="296">
                  <c:v>1310.2036316704471</c:v>
                </c:pt>
                <c:pt idx="297">
                  <c:v>1314.5271421090001</c:v>
                </c:pt>
                <c:pt idx="298">
                  <c:v>1315.9271955155418</c:v>
                </c:pt>
                <c:pt idx="299">
                  <c:v>1317.51653750689</c:v>
                </c:pt>
                <c:pt idx="300">
                  <c:v>1318.8745267834747</c:v>
                </c:pt>
                <c:pt idx="301">
                  <c:v>1328.5913408035412</c:v>
                </c:pt>
                <c:pt idx="302">
                  <c:v>1332.3987129988382</c:v>
                </c:pt>
                <c:pt idx="303">
                  <c:v>1346.85058381001</c:v>
                </c:pt>
                <c:pt idx="304">
                  <c:v>1350.6067969283322</c:v>
                </c:pt>
                <c:pt idx="305">
                  <c:v>1352.1745384205133</c:v>
                </c:pt>
                <c:pt idx="306">
                  <c:v>1353.1056336214533</c:v>
                </c:pt>
                <c:pt idx="307">
                  <c:v>1356.3525297067827</c:v>
                </c:pt>
                <c:pt idx="308">
                  <c:v>1357.9816620913334</c:v>
                </c:pt>
                <c:pt idx="309">
                  <c:v>1358.0316842999309</c:v>
                </c:pt>
                <c:pt idx="310">
                  <c:v>1359.515297532198</c:v>
                </c:pt>
                <c:pt idx="311">
                  <c:v>1361.9470589910634</c:v>
                </c:pt>
                <c:pt idx="312">
                  <c:v>1363.8388079707511</c:v>
                </c:pt>
                <c:pt idx="313">
                  <c:v>1364.4868229457643</c:v>
                </c:pt>
                <c:pt idx="314">
                  <c:v>1376.2625055969693</c:v>
                </c:pt>
                <c:pt idx="315">
                  <c:v>1380.7451776083326</c:v>
                </c:pt>
                <c:pt idx="316">
                  <c:v>1384.8469987133285</c:v>
                </c:pt>
                <c:pt idx="317">
                  <c:v>1389.5968347933376</c:v>
                </c:pt>
                <c:pt idx="318">
                  <c:v>1390.4267487087054</c:v>
                </c:pt>
                <c:pt idx="319">
                  <c:v>1395.8450633945176</c:v>
                </c:pt>
                <c:pt idx="320">
                  <c:v>1397.6265361416154</c:v>
                </c:pt>
                <c:pt idx="321">
                  <c:v>1398.8873231719481</c:v>
                </c:pt>
                <c:pt idx="322">
                  <c:v>1400.6255949207116</c:v>
                </c:pt>
                <c:pt idx="323">
                  <c:v>1403.8497536384966</c:v>
                </c:pt>
                <c:pt idx="324">
                  <c:v>1405.282207793789</c:v>
                </c:pt>
                <c:pt idx="325">
                  <c:v>1412.2819063923089</c:v>
                </c:pt>
                <c:pt idx="326">
                  <c:v>1420.5048753647134</c:v>
                </c:pt>
                <c:pt idx="327">
                  <c:v>1435.1778670752537</c:v>
                </c:pt>
                <c:pt idx="328">
                  <c:v>1446.0628133529099</c:v>
                </c:pt>
                <c:pt idx="329">
                  <c:v>1459.8416580847697</c:v>
                </c:pt>
                <c:pt idx="330">
                  <c:v>1463.2977379515069</c:v>
                </c:pt>
                <c:pt idx="331">
                  <c:v>1466.6571840061806</c:v>
                </c:pt>
                <c:pt idx="332">
                  <c:v>1467.5450782087864</c:v>
                </c:pt>
                <c:pt idx="333">
                  <c:v>1469.383394374745</c:v>
                </c:pt>
                <c:pt idx="334">
                  <c:v>1472.1846380562056</c:v>
                </c:pt>
                <c:pt idx="335">
                  <c:v>1478.5556484421249</c:v>
                </c:pt>
                <c:pt idx="336">
                  <c:v>1479.7061592398677</c:v>
                </c:pt>
                <c:pt idx="337">
                  <c:v>1484.3320766667603</c:v>
                </c:pt>
                <c:pt idx="338">
                  <c:v>1488.6305760010146</c:v>
                </c:pt>
                <c:pt idx="339">
                  <c:v>1490.3597528027603</c:v>
                </c:pt>
                <c:pt idx="340">
                  <c:v>1500.3573733119993</c:v>
                </c:pt>
                <c:pt idx="341">
                  <c:v>1509.528490511002</c:v>
                </c:pt>
                <c:pt idx="342">
                  <c:v>1513.8554115546867</c:v>
                </c:pt>
                <c:pt idx="343">
                  <c:v>1514.114617544692</c:v>
                </c:pt>
                <c:pt idx="344">
                  <c:v>1528.9416549203452</c:v>
                </c:pt>
                <c:pt idx="345">
                  <c:v>1531.6940132615855</c:v>
                </c:pt>
                <c:pt idx="346">
                  <c:v>1531.828163730097</c:v>
                </c:pt>
                <c:pt idx="347">
                  <c:v>1534.5975750969956</c:v>
                </c:pt>
                <c:pt idx="348">
                  <c:v>1545.9116891870508</c:v>
                </c:pt>
                <c:pt idx="349">
                  <c:v>1556.4459115703357</c:v>
                </c:pt>
                <c:pt idx="350">
                  <c:v>1557.5839168159291</c:v>
                </c:pt>
                <c:pt idx="351">
                  <c:v>1571.1081030312926</c:v>
                </c:pt>
                <c:pt idx="352">
                  <c:v>1580.0859526061686</c:v>
                </c:pt>
                <c:pt idx="353">
                  <c:v>1585.9737939317711</c:v>
                </c:pt>
                <c:pt idx="354">
                  <c:v>1590.1745225855848</c:v>
                </c:pt>
                <c:pt idx="355">
                  <c:v>1601.2976427882677</c:v>
                </c:pt>
                <c:pt idx="356">
                  <c:v>1606.1350177333225</c:v>
                </c:pt>
                <c:pt idx="357">
                  <c:v>1611.0280992288608</c:v>
                </c:pt>
                <c:pt idx="358">
                  <c:v>1632.9173629637808</c:v>
                </c:pt>
                <c:pt idx="359">
                  <c:v>1657.995542496792</c:v>
                </c:pt>
                <c:pt idx="360">
                  <c:v>1690.561137162149</c:v>
                </c:pt>
                <c:pt idx="361">
                  <c:v>1695.7611731195357</c:v>
                </c:pt>
                <c:pt idx="362">
                  <c:v>1698.1861133681377</c:v>
                </c:pt>
                <c:pt idx="363">
                  <c:v>1708.5782272042707</c:v>
                </c:pt>
                <c:pt idx="364">
                  <c:v>1711.1975719453767</c:v>
                </c:pt>
                <c:pt idx="365">
                  <c:v>1715.7495929277502</c:v>
                </c:pt>
                <c:pt idx="366">
                  <c:v>1717.4594429670833</c:v>
                </c:pt>
                <c:pt idx="367">
                  <c:v>1723.5075827338733</c:v>
                </c:pt>
                <c:pt idx="368">
                  <c:v>1743.8211468979716</c:v>
                </c:pt>
                <c:pt idx="369">
                  <c:v>1746.9589036190882</c:v>
                </c:pt>
                <c:pt idx="370">
                  <c:v>1765.8150025235955</c:v>
                </c:pt>
                <c:pt idx="371">
                  <c:v>1781.1263458279427</c:v>
                </c:pt>
                <c:pt idx="372">
                  <c:v>1786.7470230848994</c:v>
                </c:pt>
                <c:pt idx="373">
                  <c:v>1788.4682418080047</c:v>
                </c:pt>
                <c:pt idx="374">
                  <c:v>1790.8624866104219</c:v>
                </c:pt>
                <c:pt idx="375">
                  <c:v>1791.799266153248</c:v>
                </c:pt>
                <c:pt idx="376">
                  <c:v>1798.5727279447019</c:v>
                </c:pt>
                <c:pt idx="377">
                  <c:v>1800.4963092389517</c:v>
                </c:pt>
                <c:pt idx="378">
                  <c:v>1811.7194738588296</c:v>
                </c:pt>
                <c:pt idx="379">
                  <c:v>1811.7194738588296</c:v>
                </c:pt>
                <c:pt idx="380">
                  <c:v>1813.7271834129933</c:v>
                </c:pt>
                <c:pt idx="381">
                  <c:v>1835.0161806447431</c:v>
                </c:pt>
                <c:pt idx="382">
                  <c:v>1851.9987204635981</c:v>
                </c:pt>
                <c:pt idx="383">
                  <c:v>1853.4721018804703</c:v>
                </c:pt>
                <c:pt idx="384">
                  <c:v>1856.4438758185133</c:v>
                </c:pt>
                <c:pt idx="385">
                  <c:v>1882.4576980259735</c:v>
                </c:pt>
                <c:pt idx="386">
                  <c:v>1904.3492354976479</c:v>
                </c:pt>
                <c:pt idx="387">
                  <c:v>1923.0325304088183</c:v>
                </c:pt>
                <c:pt idx="388">
                  <c:v>1923.4554454451427</c:v>
                </c:pt>
                <c:pt idx="389">
                  <c:v>2041.5988072054461</c:v>
                </c:pt>
                <c:pt idx="390">
                  <c:v>2051.8670023884624</c:v>
                </c:pt>
                <c:pt idx="391">
                  <c:v>2057.8878573141992</c:v>
                </c:pt>
                <c:pt idx="392">
                  <c:v>2075.3774404292926</c:v>
                </c:pt>
                <c:pt idx="393">
                  <c:v>2095.9774954244494</c:v>
                </c:pt>
                <c:pt idx="394">
                  <c:v>2114.4675227114931</c:v>
                </c:pt>
                <c:pt idx="395">
                  <c:v>2123.3532859478146</c:v>
                </c:pt>
                <c:pt idx="396">
                  <c:v>2132.611942011863</c:v>
                </c:pt>
                <c:pt idx="397">
                  <c:v>2202.4793250020593</c:v>
                </c:pt>
                <c:pt idx="398">
                  <c:v>2339.4674169830978</c:v>
                </c:pt>
                <c:pt idx="399">
                  <c:v>2411.390257999301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008552"/>
        <c:axId val="368008944"/>
      </c:barChart>
      <c:catAx>
        <c:axId val="368008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08944"/>
        <c:crosses val="autoZero"/>
        <c:auto val="1"/>
        <c:lblAlgn val="ctr"/>
        <c:lblOffset val="100"/>
        <c:noMultiLvlLbl val="0"/>
      </c:catAx>
      <c:valAx>
        <c:axId val="36800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223600174978128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4249125109361329E-2"/>
          <c:y val="0.15782407407407409"/>
          <c:w val="0.89019685039370078"/>
          <c:h val="0.708410979877515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Лист1!$B$7:$B$406</c:f>
              <c:numCache>
                <c:formatCode>General</c:formatCode>
                <c:ptCount val="400"/>
                <c:pt idx="0">
                  <c:v>10</c:v>
                </c:pt>
                <c:pt idx="1">
                  <c:v>11.487975623458624</c:v>
                </c:pt>
                <c:pt idx="2">
                  <c:v>19.631954981014132</c:v>
                </c:pt>
                <c:pt idx="3">
                  <c:v>22.415008768439293</c:v>
                </c:pt>
                <c:pt idx="4">
                  <c:v>26.497912383638322</c:v>
                </c:pt>
                <c:pt idx="5">
                  <c:v>27.344833849929273</c:v>
                </c:pt>
                <c:pt idx="6">
                  <c:v>28.45696397125721</c:v>
                </c:pt>
                <c:pt idx="7">
                  <c:v>30.391459201928228</c:v>
                </c:pt>
                <c:pt idx="8">
                  <c:v>31.802631181199104</c:v>
                </c:pt>
                <c:pt idx="9">
                  <c:v>33.697836240753531</c:v>
                </c:pt>
                <c:pt idx="10">
                  <c:v>34.088009467814118</c:v>
                </c:pt>
                <c:pt idx="11">
                  <c:v>34.317202132660896</c:v>
                </c:pt>
                <c:pt idx="12">
                  <c:v>36.133826849982142</c:v>
                </c:pt>
                <c:pt idx="13">
                  <c:v>38.113887765211985</c:v>
                </c:pt>
                <c:pt idx="14">
                  <c:v>39.404187898617238</c:v>
                </c:pt>
                <c:pt idx="15">
                  <c:v>39.958343020407483</c:v>
                </c:pt>
                <c:pt idx="16">
                  <c:v>41.056557872798294</c:v>
                </c:pt>
                <c:pt idx="17">
                  <c:v>42.403337627183646</c:v>
                </c:pt>
                <c:pt idx="18">
                  <c:v>42.403337627183646</c:v>
                </c:pt>
                <c:pt idx="19">
                  <c:v>45.679974189260975</c:v>
                </c:pt>
                <c:pt idx="20">
                  <c:v>47.36563166952692</c:v>
                </c:pt>
                <c:pt idx="21">
                  <c:v>49.87119862344116</c:v>
                </c:pt>
                <c:pt idx="22">
                  <c:v>50.05564414896071</c:v>
                </c:pt>
                <c:pt idx="23">
                  <c:v>50.247320157359354</c:v>
                </c:pt>
                <c:pt idx="24">
                  <c:v>50.32876540790312</c:v>
                </c:pt>
                <c:pt idx="25">
                  <c:v>50.924393488094211</c:v>
                </c:pt>
                <c:pt idx="26">
                  <c:v>50.994242681190372</c:v>
                </c:pt>
                <c:pt idx="27">
                  <c:v>51.33966876892373</c:v>
                </c:pt>
                <c:pt idx="28">
                  <c:v>51.687004795530811</c:v>
                </c:pt>
                <c:pt idx="29">
                  <c:v>52.483995002694428</c:v>
                </c:pt>
                <c:pt idx="30">
                  <c:v>52.532152747153305</c:v>
                </c:pt>
                <c:pt idx="31">
                  <c:v>52.929147184477188</c:v>
                </c:pt>
                <c:pt idx="32">
                  <c:v>53.070073388516903</c:v>
                </c:pt>
                <c:pt idx="33">
                  <c:v>53.147971609723754</c:v>
                </c:pt>
                <c:pt idx="34">
                  <c:v>53.7145413341932</c:v>
                </c:pt>
                <c:pt idx="35">
                  <c:v>54.15464582038112</c:v>
                </c:pt>
                <c:pt idx="36">
                  <c:v>54.614122543716803</c:v>
                </c:pt>
                <c:pt idx="37">
                  <c:v>55.653265715227462</c:v>
                </c:pt>
                <c:pt idx="38">
                  <c:v>56.160081637790427</c:v>
                </c:pt>
                <c:pt idx="39">
                  <c:v>56.868805384146981</c:v>
                </c:pt>
                <c:pt idx="40">
                  <c:v>57.85788087232504</c:v>
                </c:pt>
                <c:pt idx="41">
                  <c:v>58.23618519352749</c:v>
                </c:pt>
                <c:pt idx="42">
                  <c:v>58.87383192894049</c:v>
                </c:pt>
                <c:pt idx="43">
                  <c:v>59.304250296554528</c:v>
                </c:pt>
                <c:pt idx="44">
                  <c:v>59.338765620486811</c:v>
                </c:pt>
                <c:pt idx="45">
                  <c:v>60.018294586916454</c:v>
                </c:pt>
                <c:pt idx="46">
                  <c:v>60.520267450192478</c:v>
                </c:pt>
                <c:pt idx="47">
                  <c:v>60.667128107161261</c:v>
                </c:pt>
                <c:pt idx="48">
                  <c:v>61.213438837148715</c:v>
                </c:pt>
                <c:pt idx="49">
                  <c:v>61.565481498837471</c:v>
                </c:pt>
                <c:pt idx="50">
                  <c:v>61.948151394608431</c:v>
                </c:pt>
                <c:pt idx="51">
                  <c:v>62.254014462814666</c:v>
                </c:pt>
                <c:pt idx="52">
                  <c:v>62.675701681291685</c:v>
                </c:pt>
                <c:pt idx="53">
                  <c:v>62.814581522252411</c:v>
                </c:pt>
                <c:pt idx="54">
                  <c:v>62.913352646864951</c:v>
                </c:pt>
                <c:pt idx="55">
                  <c:v>63.114578349632211</c:v>
                </c:pt>
                <c:pt idx="56">
                  <c:v>63.511982059571892</c:v>
                </c:pt>
                <c:pt idx="57">
                  <c:v>63.574464345583692</c:v>
                </c:pt>
                <c:pt idx="58">
                  <c:v>64.049493428319693</c:v>
                </c:pt>
                <c:pt idx="59">
                  <c:v>64.877997626899742</c:v>
                </c:pt>
                <c:pt idx="60">
                  <c:v>65.172401061863638</c:v>
                </c:pt>
                <c:pt idx="61">
                  <c:v>65.476763463811949</c:v>
                </c:pt>
                <c:pt idx="62">
                  <c:v>66.54926235351013</c:v>
                </c:pt>
                <c:pt idx="63">
                  <c:v>67.646385812258814</c:v>
                </c:pt>
                <c:pt idx="64">
                  <c:v>67.666917655151337</c:v>
                </c:pt>
                <c:pt idx="65">
                  <c:v>67.793792166048661</c:v>
                </c:pt>
                <c:pt idx="66">
                  <c:v>68.804559102864005</c:v>
                </c:pt>
                <c:pt idx="67">
                  <c:v>68.839961184130516</c:v>
                </c:pt>
                <c:pt idx="68">
                  <c:v>68.839961184130516</c:v>
                </c:pt>
                <c:pt idx="69">
                  <c:v>69.028294799500145</c:v>
                </c:pt>
                <c:pt idx="70">
                  <c:v>69.075156514008995</c:v>
                </c:pt>
                <c:pt idx="71">
                  <c:v>69.281361700268462</c:v>
                </c:pt>
                <c:pt idx="72">
                  <c:v>69.547593536844943</c:v>
                </c:pt>
                <c:pt idx="73">
                  <c:v>69.555301504442468</c:v>
                </c:pt>
                <c:pt idx="74">
                  <c:v>69.719965520198457</c:v>
                </c:pt>
                <c:pt idx="75">
                  <c:v>69.845748637453653</c:v>
                </c:pt>
                <c:pt idx="76">
                  <c:v>70.050453157455195</c:v>
                </c:pt>
                <c:pt idx="77">
                  <c:v>70.114572533930186</c:v>
                </c:pt>
                <c:pt idx="78">
                  <c:v>70.354883771506138</c:v>
                </c:pt>
                <c:pt idx="79">
                  <c:v>70.478006616758648</c:v>
                </c:pt>
                <c:pt idx="80">
                  <c:v>71.301190271333326</c:v>
                </c:pt>
                <c:pt idx="81">
                  <c:v>71.679699228843674</c:v>
                </c:pt>
                <c:pt idx="82">
                  <c:v>71.715510582725983</c:v>
                </c:pt>
                <c:pt idx="83">
                  <c:v>71.754868965945207</c:v>
                </c:pt>
                <c:pt idx="84">
                  <c:v>71.890406413876917</c:v>
                </c:pt>
                <c:pt idx="85">
                  <c:v>71.92239789001178</c:v>
                </c:pt>
                <c:pt idx="86">
                  <c:v>72.149203131266404</c:v>
                </c:pt>
                <c:pt idx="87">
                  <c:v>73.321564539219253</c:v>
                </c:pt>
                <c:pt idx="88">
                  <c:v>73.808803588326555</c:v>
                </c:pt>
                <c:pt idx="89">
                  <c:v>73.83902154979296</c:v>
                </c:pt>
                <c:pt idx="90">
                  <c:v>73.919511830899864</c:v>
                </c:pt>
                <c:pt idx="91">
                  <c:v>74.727143126074225</c:v>
                </c:pt>
                <c:pt idx="92">
                  <c:v>74.80558704410214</c:v>
                </c:pt>
                <c:pt idx="93">
                  <c:v>75.69578908951371</c:v>
                </c:pt>
                <c:pt idx="94">
                  <c:v>75.778564476058818</c:v>
                </c:pt>
                <c:pt idx="95">
                  <c:v>76.098274601099547</c:v>
                </c:pt>
                <c:pt idx="96">
                  <c:v>76.776234689168632</c:v>
                </c:pt>
                <c:pt idx="97">
                  <c:v>76.893695929902606</c:v>
                </c:pt>
                <c:pt idx="98">
                  <c:v>77.237962411891203</c:v>
                </c:pt>
                <c:pt idx="99">
                  <c:v>77.597508404869586</c:v>
                </c:pt>
                <c:pt idx="100">
                  <c:v>77.974857756635174</c:v>
                </c:pt>
                <c:pt idx="101">
                  <c:v>78.657251631375402</c:v>
                </c:pt>
                <c:pt idx="102">
                  <c:v>79.077847456210293</c:v>
                </c:pt>
                <c:pt idx="103">
                  <c:v>79.291010276938323</c:v>
                </c:pt>
                <c:pt idx="104">
                  <c:v>79.494384660938522</c:v>
                </c:pt>
                <c:pt idx="105">
                  <c:v>79.757376422639936</c:v>
                </c:pt>
                <c:pt idx="106">
                  <c:v>79.835138219641522</c:v>
                </c:pt>
                <c:pt idx="107">
                  <c:v>80.233224050607532</c:v>
                </c:pt>
                <c:pt idx="108">
                  <c:v>80.253141984576359</c:v>
                </c:pt>
                <c:pt idx="109">
                  <c:v>80.384075115580345</c:v>
                </c:pt>
                <c:pt idx="110">
                  <c:v>80.531617893575458</c:v>
                </c:pt>
                <c:pt idx="111">
                  <c:v>80.687175593629945</c:v>
                </c:pt>
                <c:pt idx="112">
                  <c:v>80.749248607025947</c:v>
                </c:pt>
                <c:pt idx="113">
                  <c:v>81.39890067250235</c:v>
                </c:pt>
                <c:pt idx="114">
                  <c:v>81.858445607940666</c:v>
                </c:pt>
                <c:pt idx="115">
                  <c:v>81.938253768021241</c:v>
                </c:pt>
                <c:pt idx="116">
                  <c:v>81.990504238638096</c:v>
                </c:pt>
                <c:pt idx="117">
                  <c:v>82.239955897966865</c:v>
                </c:pt>
                <c:pt idx="118">
                  <c:v>82.425561029231176</c:v>
                </c:pt>
                <c:pt idx="119">
                  <c:v>82.913686835672706</c:v>
                </c:pt>
                <c:pt idx="120">
                  <c:v>82.967642608855385</c:v>
                </c:pt>
                <c:pt idx="121">
                  <c:v>83.509519552171696</c:v>
                </c:pt>
                <c:pt idx="122">
                  <c:v>83.722682372899726</c:v>
                </c:pt>
                <c:pt idx="123">
                  <c:v>83.773159328848124</c:v>
                </c:pt>
                <c:pt idx="124">
                  <c:v>84.00644471985288</c:v>
                </c:pt>
                <c:pt idx="125">
                  <c:v>84.159649102366529</c:v>
                </c:pt>
                <c:pt idx="126">
                  <c:v>84.677037900837604</c:v>
                </c:pt>
                <c:pt idx="127">
                  <c:v>84.724104251654353</c:v>
                </c:pt>
                <c:pt idx="128">
                  <c:v>84.872806635394227</c:v>
                </c:pt>
                <c:pt idx="129">
                  <c:v>84.956161824811716</c:v>
                </c:pt>
                <c:pt idx="130">
                  <c:v>85.122497037082212</c:v>
                </c:pt>
                <c:pt idx="131">
                  <c:v>85.132865276682423</c:v>
                </c:pt>
                <c:pt idx="132">
                  <c:v>85.192516760434955</c:v>
                </c:pt>
                <c:pt idx="133">
                  <c:v>85.53118985000765</c:v>
                </c:pt>
                <c:pt idx="134">
                  <c:v>85.893600751296617</c:v>
                </c:pt>
                <c:pt idx="135">
                  <c:v>86.312627697770949</c:v>
                </c:pt>
                <c:pt idx="136">
                  <c:v>86.462694323563483</c:v>
                </c:pt>
                <c:pt idx="137">
                  <c:v>86.526199791114777</c:v>
                </c:pt>
                <c:pt idx="138">
                  <c:v>86.589637046563439</c:v>
                </c:pt>
                <c:pt idx="139">
                  <c:v>86.597242696007015</c:v>
                </c:pt>
                <c:pt idx="140">
                  <c:v>86.620059644337744</c:v>
                </c:pt>
                <c:pt idx="141">
                  <c:v>86.814941621560138</c:v>
                </c:pt>
                <c:pt idx="142">
                  <c:v>87.228238751413301</c:v>
                </c:pt>
                <c:pt idx="143">
                  <c:v>87.801356837735511</c:v>
                </c:pt>
                <c:pt idx="144">
                  <c:v>87.843716553470585</c:v>
                </c:pt>
                <c:pt idx="145">
                  <c:v>87.908449838869274</c:v>
                </c:pt>
                <c:pt idx="146">
                  <c:v>87.940816481568618</c:v>
                </c:pt>
                <c:pt idx="147">
                  <c:v>87.973149018216645</c:v>
                </c:pt>
                <c:pt idx="148">
                  <c:v>88.017896157543873</c:v>
                </c:pt>
                <c:pt idx="149">
                  <c:v>88.094907621416496</c:v>
                </c:pt>
                <c:pt idx="150">
                  <c:v>88.18423136981437</c:v>
                </c:pt>
                <c:pt idx="151">
                  <c:v>88.273486906109611</c:v>
                </c:pt>
                <c:pt idx="152">
                  <c:v>88.330409905756824</c:v>
                </c:pt>
                <c:pt idx="153">
                  <c:v>88.851004673051648</c:v>
                </c:pt>
                <c:pt idx="154">
                  <c:v>89.245952747296542</c:v>
                </c:pt>
                <c:pt idx="155">
                  <c:v>90.412720762833487</c:v>
                </c:pt>
                <c:pt idx="156">
                  <c:v>90.767116742063081</c:v>
                </c:pt>
                <c:pt idx="157">
                  <c:v>90.911385339131812</c:v>
                </c:pt>
                <c:pt idx="158">
                  <c:v>91.120216691342648</c:v>
                </c:pt>
                <c:pt idx="159">
                  <c:v>91.146580669010291</c:v>
                </c:pt>
                <c:pt idx="160">
                  <c:v>91.443405633617658</c:v>
                </c:pt>
                <c:pt idx="161">
                  <c:v>91.68692284001736</c:v>
                </c:pt>
                <c:pt idx="162">
                  <c:v>91.720278558204882</c:v>
                </c:pt>
                <c:pt idx="163">
                  <c:v>91.834670254320372</c:v>
                </c:pt>
                <c:pt idx="164">
                  <c:v>91.903700902184937</c:v>
                </c:pt>
                <c:pt idx="165">
                  <c:v>92.169966844812734</c:v>
                </c:pt>
                <c:pt idx="166">
                  <c:v>92.359767020388972</c:v>
                </c:pt>
                <c:pt idx="167">
                  <c:v>92.490052136417944</c:v>
                </c:pt>
                <c:pt idx="168">
                  <c:v>92.594212017138489</c:v>
                </c:pt>
                <c:pt idx="169">
                  <c:v>93.200822245853487</c:v>
                </c:pt>
                <c:pt idx="170">
                  <c:v>93.438404999324121</c:v>
                </c:pt>
                <c:pt idx="171">
                  <c:v>93.494816408201586</c:v>
                </c:pt>
                <c:pt idx="172">
                  <c:v>93.551193711027736</c:v>
                </c:pt>
                <c:pt idx="173">
                  <c:v>94.141808201675303</c:v>
                </c:pt>
                <c:pt idx="174">
                  <c:v>94.176903328479966</c:v>
                </c:pt>
                <c:pt idx="175">
                  <c:v>94.457289176352788</c:v>
                </c:pt>
                <c:pt idx="176">
                  <c:v>94.839686223713215</c:v>
                </c:pt>
                <c:pt idx="177">
                  <c:v>94.853669704752974</c:v>
                </c:pt>
                <c:pt idx="178">
                  <c:v>94.897939359361771</c:v>
                </c:pt>
                <c:pt idx="179">
                  <c:v>95.084090187447146</c:v>
                </c:pt>
                <c:pt idx="180">
                  <c:v>95.11898067794391</c:v>
                </c:pt>
                <c:pt idx="181">
                  <c:v>95.416419551474974</c:v>
                </c:pt>
                <c:pt idx="182">
                  <c:v>95.826988197222818</c:v>
                </c:pt>
                <c:pt idx="183">
                  <c:v>96.016890690953005</c:v>
                </c:pt>
                <c:pt idx="184">
                  <c:v>96.394001300359378</c:v>
                </c:pt>
                <c:pt idx="185">
                  <c:v>96.437895788403694</c:v>
                </c:pt>
                <c:pt idx="186">
                  <c:v>96.516476130636875</c:v>
                </c:pt>
                <c:pt idx="187">
                  <c:v>96.795907009072835</c:v>
                </c:pt>
                <c:pt idx="188">
                  <c:v>97.033523868594784</c:v>
                </c:pt>
                <c:pt idx="189">
                  <c:v>97.181100752641214</c:v>
                </c:pt>
                <c:pt idx="190">
                  <c:v>97.204156443331158</c:v>
                </c:pt>
                <c:pt idx="191">
                  <c:v>97.227178027969785</c:v>
                </c:pt>
                <c:pt idx="192">
                  <c:v>97.282498043205123</c:v>
                </c:pt>
                <c:pt idx="193">
                  <c:v>97.692452780029271</c:v>
                </c:pt>
                <c:pt idx="194">
                  <c:v>97.832833287247922</c:v>
                </c:pt>
                <c:pt idx="195">
                  <c:v>97.959366737632081</c:v>
                </c:pt>
                <c:pt idx="196">
                  <c:v>98.168641468510032</c:v>
                </c:pt>
                <c:pt idx="197">
                  <c:v>98.508815224340651</c:v>
                </c:pt>
                <c:pt idx="198">
                  <c:v>98.522594069072511</c:v>
                </c:pt>
                <c:pt idx="199">
                  <c:v>98.669659362349194</c:v>
                </c:pt>
                <c:pt idx="200">
                  <c:v>98.910789145156741</c:v>
                </c:pt>
                <c:pt idx="201">
                  <c:v>99.480155565834139</c:v>
                </c:pt>
                <c:pt idx="202">
                  <c:v>99.498538727493724</c:v>
                </c:pt>
                <c:pt idx="203">
                  <c:v>99.633939751220169</c:v>
                </c:pt>
                <c:pt idx="204">
                  <c:v>100.05392166713136</c:v>
                </c:pt>
                <c:pt idx="205">
                  <c:v>100.4808271114598</c:v>
                </c:pt>
                <c:pt idx="206">
                  <c:v>100.82284259406151</c:v>
                </c:pt>
                <c:pt idx="207">
                  <c:v>100.91465608420549</c:v>
                </c:pt>
                <c:pt idx="208">
                  <c:v>100.96059693532879</c:v>
                </c:pt>
                <c:pt idx="209">
                  <c:v>101.4130819181446</c:v>
                </c:pt>
                <c:pt idx="210">
                  <c:v>101.42914586831466</c:v>
                </c:pt>
                <c:pt idx="211">
                  <c:v>101.56703663378721</c:v>
                </c:pt>
                <c:pt idx="212">
                  <c:v>101.72791487784707</c:v>
                </c:pt>
                <c:pt idx="213">
                  <c:v>101.9808112483588</c:v>
                </c:pt>
                <c:pt idx="214">
                  <c:v>101.99462419914198</c:v>
                </c:pt>
                <c:pt idx="215">
                  <c:v>102.1694859242416</c:v>
                </c:pt>
                <c:pt idx="216">
                  <c:v>102.39963355852524</c:v>
                </c:pt>
                <c:pt idx="217">
                  <c:v>102.51477558776969</c:v>
                </c:pt>
                <c:pt idx="218">
                  <c:v>102.51937990469742</c:v>
                </c:pt>
                <c:pt idx="219">
                  <c:v>102.67370978690451</c:v>
                </c:pt>
                <c:pt idx="220">
                  <c:v>102.88114279101137</c:v>
                </c:pt>
                <c:pt idx="221">
                  <c:v>103.07026084556128</c:v>
                </c:pt>
                <c:pt idx="222">
                  <c:v>103.28720943798544</c:v>
                </c:pt>
                <c:pt idx="223">
                  <c:v>103.43270585290156</c:v>
                </c:pt>
                <c:pt idx="224">
                  <c:v>103.73318016499979</c:v>
                </c:pt>
                <c:pt idx="225">
                  <c:v>103.78638560505351</c:v>
                </c:pt>
                <c:pt idx="226">
                  <c:v>103.99003283746424</c:v>
                </c:pt>
                <c:pt idx="227">
                  <c:v>104.03171043217299</c:v>
                </c:pt>
                <c:pt idx="228">
                  <c:v>104.63930973637616</c:v>
                </c:pt>
                <c:pt idx="229">
                  <c:v>104.66488927486353</c:v>
                </c:pt>
                <c:pt idx="230">
                  <c:v>104.68808138975874</c:v>
                </c:pt>
                <c:pt idx="231">
                  <c:v>105.20454932484427</c:v>
                </c:pt>
                <c:pt idx="232">
                  <c:v>105.2162135943945</c:v>
                </c:pt>
                <c:pt idx="233">
                  <c:v>105.46569935977459</c:v>
                </c:pt>
                <c:pt idx="234">
                  <c:v>106.23526830167975</c:v>
                </c:pt>
                <c:pt idx="235">
                  <c:v>106.24696667728131</c:v>
                </c:pt>
                <c:pt idx="236">
                  <c:v>106.32203409622889</c:v>
                </c:pt>
                <c:pt idx="237">
                  <c:v>106.33376657788176</c:v>
                </c:pt>
                <c:pt idx="238">
                  <c:v>106.60627392790047</c:v>
                </c:pt>
                <c:pt idx="239">
                  <c:v>106.60627392790047</c:v>
                </c:pt>
                <c:pt idx="240">
                  <c:v>106.79215190757532</c:v>
                </c:pt>
                <c:pt idx="241">
                  <c:v>107.19064701115713</c:v>
                </c:pt>
                <c:pt idx="242">
                  <c:v>107.29698967916192</c:v>
                </c:pt>
                <c:pt idx="243">
                  <c:v>107.36554284230806</c:v>
                </c:pt>
                <c:pt idx="244">
                  <c:v>107.58573150960729</c:v>
                </c:pt>
                <c:pt idx="245">
                  <c:v>107.88467104939627</c:v>
                </c:pt>
                <c:pt idx="246">
                  <c:v>107.90366811997956</c:v>
                </c:pt>
                <c:pt idx="247">
                  <c:v>108.47538785819779</c:v>
                </c:pt>
                <c:pt idx="248">
                  <c:v>108.5327201304608</c:v>
                </c:pt>
                <c:pt idx="249">
                  <c:v>109.03578438737895</c:v>
                </c:pt>
                <c:pt idx="250">
                  <c:v>109.26415850699414</c:v>
                </c:pt>
                <c:pt idx="251">
                  <c:v>109.49553395912517</c:v>
                </c:pt>
                <c:pt idx="252">
                  <c:v>109.74437170953024</c:v>
                </c:pt>
                <c:pt idx="253">
                  <c:v>110.26844529405935</c:v>
                </c:pt>
                <c:pt idx="254">
                  <c:v>110.30739440466277</c:v>
                </c:pt>
                <c:pt idx="255">
                  <c:v>110.33658918458968</c:v>
                </c:pt>
                <c:pt idx="256">
                  <c:v>110.53651885740692</c:v>
                </c:pt>
                <c:pt idx="257">
                  <c:v>110.87652208298096</c:v>
                </c:pt>
                <c:pt idx="258">
                  <c:v>110.95008883567061</c:v>
                </c:pt>
                <c:pt idx="259">
                  <c:v>111.03596787288552</c:v>
                </c:pt>
                <c:pt idx="260">
                  <c:v>111.08016931539169</c:v>
                </c:pt>
                <c:pt idx="261">
                  <c:v>111.78350430564024</c:v>
                </c:pt>
                <c:pt idx="262">
                  <c:v>111.78599404738634</c:v>
                </c:pt>
                <c:pt idx="263">
                  <c:v>111.9125274977705</c:v>
                </c:pt>
                <c:pt idx="264">
                  <c:v>112.11644757859176</c:v>
                </c:pt>
                <c:pt idx="265">
                  <c:v>112.40334768226603</c:v>
                </c:pt>
                <c:pt idx="266">
                  <c:v>113.37489266006742</c:v>
                </c:pt>
                <c:pt idx="267">
                  <c:v>113.81226866215002</c:v>
                </c:pt>
                <c:pt idx="268">
                  <c:v>114.1345708470908</c:v>
                </c:pt>
                <c:pt idx="269">
                  <c:v>115.06464286649134</c:v>
                </c:pt>
                <c:pt idx="270">
                  <c:v>115.07507931819418</c:v>
                </c:pt>
                <c:pt idx="271">
                  <c:v>115.31249154140824</c:v>
                </c:pt>
                <c:pt idx="272">
                  <c:v>115.35693172627361</c:v>
                </c:pt>
                <c:pt idx="273">
                  <c:v>115.83506445967942</c:v>
                </c:pt>
                <c:pt idx="274">
                  <c:v>116.13659605936846</c:v>
                </c:pt>
                <c:pt idx="275">
                  <c:v>116.16313056729268</c:v>
                </c:pt>
                <c:pt idx="276">
                  <c:v>116.29859980312176</c:v>
                </c:pt>
                <c:pt idx="277">
                  <c:v>116.31190116313519</c:v>
                </c:pt>
                <c:pt idx="278">
                  <c:v>116.43979885557201</c:v>
                </c:pt>
                <c:pt idx="279">
                  <c:v>116.54655079619261</c:v>
                </c:pt>
                <c:pt idx="280">
                  <c:v>116.68566937951255</c:v>
                </c:pt>
                <c:pt idx="281">
                  <c:v>116.91114448476583</c:v>
                </c:pt>
                <c:pt idx="282">
                  <c:v>117.0890075423813</c:v>
                </c:pt>
                <c:pt idx="283">
                  <c:v>117.21332409942988</c:v>
                </c:pt>
                <c:pt idx="284">
                  <c:v>117.38133050821489</c:v>
                </c:pt>
                <c:pt idx="285">
                  <c:v>117.48187514749588</c:v>
                </c:pt>
                <c:pt idx="286">
                  <c:v>118.03422264856636</c:v>
                </c:pt>
                <c:pt idx="287">
                  <c:v>118.06174623197876</c:v>
                </c:pt>
                <c:pt idx="288">
                  <c:v>118.17187467167969</c:v>
                </c:pt>
                <c:pt idx="289">
                  <c:v>118.64004843810108</c:v>
                </c:pt>
                <c:pt idx="290">
                  <c:v>118.64004843810108</c:v>
                </c:pt>
                <c:pt idx="291">
                  <c:v>118.80737272585975</c:v>
                </c:pt>
                <c:pt idx="292">
                  <c:v>119.81527475436451</c:v>
                </c:pt>
                <c:pt idx="293">
                  <c:v>120.25415142270504</c:v>
                </c:pt>
                <c:pt idx="294">
                  <c:v>120.35513944065315</c:v>
                </c:pt>
                <c:pt idx="295">
                  <c:v>120.49981731033768</c:v>
                </c:pt>
                <c:pt idx="296">
                  <c:v>120.528841560008</c:v>
                </c:pt>
                <c:pt idx="297">
                  <c:v>120.69446054520085</c:v>
                </c:pt>
                <c:pt idx="298">
                  <c:v>121.12160473188851</c:v>
                </c:pt>
                <c:pt idx="299">
                  <c:v>121.31317842213321</c:v>
                </c:pt>
                <c:pt idx="300">
                  <c:v>121.33681391569553</c:v>
                </c:pt>
                <c:pt idx="301">
                  <c:v>121.78844624722842</c:v>
                </c:pt>
                <c:pt idx="302">
                  <c:v>122.46626991109224</c:v>
                </c:pt>
                <c:pt idx="303">
                  <c:v>122.73754944326356</c:v>
                </c:pt>
                <c:pt idx="304">
                  <c:v>122.77117800986161</c:v>
                </c:pt>
                <c:pt idx="305">
                  <c:v>122.89689291501418</c:v>
                </c:pt>
                <c:pt idx="306">
                  <c:v>122.9122406381066</c:v>
                </c:pt>
                <c:pt idx="307">
                  <c:v>123.14641278644558</c:v>
                </c:pt>
                <c:pt idx="308">
                  <c:v>123.67546585446689</c:v>
                </c:pt>
                <c:pt idx="309">
                  <c:v>123.87021140748402</c:v>
                </c:pt>
                <c:pt idx="310">
                  <c:v>123.92382612015354</c:v>
                </c:pt>
                <c:pt idx="311">
                  <c:v>124.15793005638989</c:v>
                </c:pt>
                <c:pt idx="312">
                  <c:v>124.18016720184823</c:v>
                </c:pt>
                <c:pt idx="313">
                  <c:v>124.1865109273931</c:v>
                </c:pt>
                <c:pt idx="314">
                  <c:v>124.44789970468264</c:v>
                </c:pt>
                <c:pt idx="315">
                  <c:v>124.486303118465</c:v>
                </c:pt>
                <c:pt idx="316">
                  <c:v>124.7304342337884</c:v>
                </c:pt>
                <c:pt idx="317">
                  <c:v>124.93084139132407</c:v>
                </c:pt>
                <c:pt idx="318">
                  <c:v>125.03472842363408</c:v>
                </c:pt>
                <c:pt idx="319">
                  <c:v>125.05423708498711</c:v>
                </c:pt>
                <c:pt idx="320">
                  <c:v>125.14216248528101</c:v>
                </c:pt>
                <c:pt idx="321">
                  <c:v>125.66773673606804</c:v>
                </c:pt>
                <c:pt idx="322">
                  <c:v>125.72735411376925</c:v>
                </c:pt>
                <c:pt idx="323">
                  <c:v>125.9869011642877</c:v>
                </c:pt>
                <c:pt idx="324">
                  <c:v>125.99692834337475</c:v>
                </c:pt>
                <c:pt idx="325">
                  <c:v>126.51186150615104</c:v>
                </c:pt>
                <c:pt idx="326">
                  <c:v>126.71254151209723</c:v>
                </c:pt>
                <c:pt idx="327">
                  <c:v>126.85953859327128</c:v>
                </c:pt>
                <c:pt idx="328">
                  <c:v>127.43674940575147</c:v>
                </c:pt>
                <c:pt idx="329">
                  <c:v>128.44240043486934</c:v>
                </c:pt>
                <c:pt idx="330">
                  <c:v>128.56490937119815</c:v>
                </c:pt>
                <c:pt idx="331">
                  <c:v>129.1370724880835</c:v>
                </c:pt>
                <c:pt idx="332">
                  <c:v>129.27718014689162</c:v>
                </c:pt>
                <c:pt idx="333">
                  <c:v>129.53318016807316</c:v>
                </c:pt>
                <c:pt idx="334">
                  <c:v>129.62642611237243</c:v>
                </c:pt>
                <c:pt idx="335">
                  <c:v>129.91182554978877</c:v>
                </c:pt>
                <c:pt idx="336">
                  <c:v>129.96468992932932</c:v>
                </c:pt>
                <c:pt idx="337">
                  <c:v>131.01870333921397</c:v>
                </c:pt>
                <c:pt idx="338">
                  <c:v>131.08930286543909</c:v>
                </c:pt>
                <c:pt idx="339">
                  <c:v>131.46467406622833</c:v>
                </c:pt>
                <c:pt idx="340">
                  <c:v>131.75252913933946</c:v>
                </c:pt>
                <c:pt idx="341">
                  <c:v>131.86528374499176</c:v>
                </c:pt>
                <c:pt idx="342">
                  <c:v>131.91371433786117</c:v>
                </c:pt>
                <c:pt idx="343">
                  <c:v>132.50593181292061</c:v>
                </c:pt>
                <c:pt idx="344">
                  <c:v>132.69228727731388</c:v>
                </c:pt>
                <c:pt idx="345">
                  <c:v>132.8632268065121</c:v>
                </c:pt>
                <c:pt idx="346">
                  <c:v>133.16172296763398</c:v>
                </c:pt>
                <c:pt idx="347">
                  <c:v>133.31438165332656</c:v>
                </c:pt>
                <c:pt idx="348">
                  <c:v>134.42999059188878</c:v>
                </c:pt>
                <c:pt idx="349">
                  <c:v>135.15385742502986</c:v>
                </c:pt>
                <c:pt idx="350">
                  <c:v>135.41967998899054</c:v>
                </c:pt>
                <c:pt idx="351">
                  <c:v>135.48427685018396</c:v>
                </c:pt>
                <c:pt idx="352">
                  <c:v>135.66510713426396</c:v>
                </c:pt>
                <c:pt idx="353">
                  <c:v>135.73495632736012</c:v>
                </c:pt>
                <c:pt idx="354">
                  <c:v>136.02588094508974</c:v>
                </c:pt>
                <c:pt idx="355">
                  <c:v>136.55056843854254</c:v>
                </c:pt>
                <c:pt idx="356">
                  <c:v>136.59879439510405</c:v>
                </c:pt>
                <c:pt idx="357">
                  <c:v>136.69074430945329</c:v>
                </c:pt>
                <c:pt idx="358">
                  <c:v>137.44905825442402</c:v>
                </c:pt>
                <c:pt idx="359">
                  <c:v>137.76126504817512</c:v>
                </c:pt>
                <c:pt idx="360">
                  <c:v>138.57053343381267</c:v>
                </c:pt>
                <c:pt idx="361">
                  <c:v>138.7706677429378</c:v>
                </c:pt>
                <c:pt idx="362">
                  <c:v>138.96193447872065</c:v>
                </c:pt>
                <c:pt idx="363">
                  <c:v>139.23014446627349</c:v>
                </c:pt>
                <c:pt idx="364">
                  <c:v>140.57515070599038</c:v>
                </c:pt>
                <c:pt idx="365">
                  <c:v>140.64977474627085</c:v>
                </c:pt>
                <c:pt idx="366">
                  <c:v>140.80543476447929</c:v>
                </c:pt>
                <c:pt idx="367">
                  <c:v>141.04990694031585</c:v>
                </c:pt>
                <c:pt idx="368">
                  <c:v>141.79403276793892</c:v>
                </c:pt>
                <c:pt idx="369">
                  <c:v>144.2171312897699</c:v>
                </c:pt>
                <c:pt idx="370">
                  <c:v>144.51862878340762</c:v>
                </c:pt>
                <c:pt idx="371">
                  <c:v>144.88069862418342</c:v>
                </c:pt>
                <c:pt idx="372">
                  <c:v>145.02885531110223</c:v>
                </c:pt>
                <c:pt idx="373">
                  <c:v>145.91179276758339</c:v>
                </c:pt>
                <c:pt idx="374">
                  <c:v>146.09023562807124</c:v>
                </c:pt>
                <c:pt idx="375">
                  <c:v>146.33839125744998</c:v>
                </c:pt>
                <c:pt idx="376">
                  <c:v>149.3932020617649</c:v>
                </c:pt>
                <c:pt idx="377">
                  <c:v>149.85281520930585</c:v>
                </c:pt>
                <c:pt idx="378">
                  <c:v>150.58882379671559</c:v>
                </c:pt>
                <c:pt idx="379">
                  <c:v>150.70342012913898</c:v>
                </c:pt>
                <c:pt idx="380">
                  <c:v>150.75130502518732</c:v>
                </c:pt>
                <c:pt idx="381">
                  <c:v>151.03192961541936</c:v>
                </c:pt>
                <c:pt idx="382">
                  <c:v>151.06112439534627</c:v>
                </c:pt>
                <c:pt idx="383">
                  <c:v>152.49603418633342</c:v>
                </c:pt>
                <c:pt idx="384">
                  <c:v>153.5687377123395</c:v>
                </c:pt>
                <c:pt idx="385">
                  <c:v>153.71621227823198</c:v>
                </c:pt>
                <c:pt idx="386">
                  <c:v>154.52220648294315</c:v>
                </c:pt>
                <c:pt idx="387">
                  <c:v>155.40732672670856</c:v>
                </c:pt>
                <c:pt idx="388">
                  <c:v>156.26325219054706</c:v>
                </c:pt>
                <c:pt idx="389">
                  <c:v>156.31673047901131</c:v>
                </c:pt>
                <c:pt idx="390">
                  <c:v>157.26678864448331</c:v>
                </c:pt>
                <c:pt idx="391">
                  <c:v>158.03758540423587</c:v>
                </c:pt>
                <c:pt idx="392">
                  <c:v>158.44549377798103</c:v>
                </c:pt>
                <c:pt idx="393">
                  <c:v>158.59938028152101</c:v>
                </c:pt>
                <c:pt idx="394">
                  <c:v>159.93988452246413</c:v>
                </c:pt>
                <c:pt idx="395">
                  <c:v>170.41235221549869</c:v>
                </c:pt>
                <c:pt idx="396">
                  <c:v>174.86851245630533</c:v>
                </c:pt>
                <c:pt idx="397">
                  <c:v>177.39181455690414</c:v>
                </c:pt>
                <c:pt idx="398">
                  <c:v>193.49314495921135</c:v>
                </c:pt>
                <c:pt idx="399">
                  <c:v>196.60143405199051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009336"/>
        <c:axId val="368011688"/>
      </c:barChart>
      <c:catAx>
        <c:axId val="368009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11688"/>
        <c:crosses val="autoZero"/>
        <c:auto val="1"/>
        <c:lblAlgn val="ctr"/>
        <c:lblOffset val="100"/>
        <c:noMultiLvlLbl val="0"/>
      </c:catAx>
      <c:valAx>
        <c:axId val="36801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0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Лист1!$B$7:$B$406</c:f>
              <c:numCache>
                <c:formatCode>General</c:formatCode>
                <c:ptCount val="400"/>
                <c:pt idx="0">
                  <c:v>10</c:v>
                </c:pt>
                <c:pt idx="1">
                  <c:v>11.487975623458624</c:v>
                </c:pt>
                <c:pt idx="2">
                  <c:v>19.631954981014132</c:v>
                </c:pt>
                <c:pt idx="3">
                  <c:v>22.415008768439293</c:v>
                </c:pt>
                <c:pt idx="4">
                  <c:v>26.497912383638322</c:v>
                </c:pt>
                <c:pt idx="5">
                  <c:v>27.344833849929273</c:v>
                </c:pt>
                <c:pt idx="6">
                  <c:v>28.45696397125721</c:v>
                </c:pt>
                <c:pt idx="7">
                  <c:v>30.391459201928228</c:v>
                </c:pt>
                <c:pt idx="8">
                  <c:v>31.802631181199104</c:v>
                </c:pt>
                <c:pt idx="9">
                  <c:v>33.697836240753531</c:v>
                </c:pt>
                <c:pt idx="10">
                  <c:v>34.088009467814118</c:v>
                </c:pt>
                <c:pt idx="11">
                  <c:v>34.317202132660896</c:v>
                </c:pt>
                <c:pt idx="12">
                  <c:v>36.133826849982142</c:v>
                </c:pt>
                <c:pt idx="13">
                  <c:v>38.113887765211985</c:v>
                </c:pt>
                <c:pt idx="14">
                  <c:v>39.404187898617238</c:v>
                </c:pt>
                <c:pt idx="15">
                  <c:v>39.958343020407483</c:v>
                </c:pt>
                <c:pt idx="16">
                  <c:v>41.056557872798294</c:v>
                </c:pt>
                <c:pt idx="17">
                  <c:v>42.403337627183646</c:v>
                </c:pt>
                <c:pt idx="18">
                  <c:v>42.403337627183646</c:v>
                </c:pt>
                <c:pt idx="19">
                  <c:v>45.679974189260975</c:v>
                </c:pt>
                <c:pt idx="20">
                  <c:v>47.36563166952692</c:v>
                </c:pt>
                <c:pt idx="21">
                  <c:v>49.87119862344116</c:v>
                </c:pt>
                <c:pt idx="22">
                  <c:v>50.05564414896071</c:v>
                </c:pt>
                <c:pt idx="23">
                  <c:v>50.247320157359354</c:v>
                </c:pt>
                <c:pt idx="24">
                  <c:v>50.32876540790312</c:v>
                </c:pt>
                <c:pt idx="25">
                  <c:v>50.924393488094211</c:v>
                </c:pt>
                <c:pt idx="26">
                  <c:v>50.994242681190372</c:v>
                </c:pt>
                <c:pt idx="27">
                  <c:v>51.33966876892373</c:v>
                </c:pt>
                <c:pt idx="28">
                  <c:v>51.687004795530811</c:v>
                </c:pt>
                <c:pt idx="29">
                  <c:v>52.483995002694428</c:v>
                </c:pt>
                <c:pt idx="30">
                  <c:v>52.532152747153305</c:v>
                </c:pt>
                <c:pt idx="31">
                  <c:v>52.929147184477188</c:v>
                </c:pt>
                <c:pt idx="32">
                  <c:v>53.070073388516903</c:v>
                </c:pt>
                <c:pt idx="33">
                  <c:v>53.147971609723754</c:v>
                </c:pt>
                <c:pt idx="34">
                  <c:v>53.7145413341932</c:v>
                </c:pt>
                <c:pt idx="35">
                  <c:v>54.15464582038112</c:v>
                </c:pt>
                <c:pt idx="36">
                  <c:v>54.614122543716803</c:v>
                </c:pt>
                <c:pt idx="37">
                  <c:v>55.653265715227462</c:v>
                </c:pt>
                <c:pt idx="38">
                  <c:v>56.160081637790427</c:v>
                </c:pt>
                <c:pt idx="39">
                  <c:v>56.868805384146981</c:v>
                </c:pt>
                <c:pt idx="40">
                  <c:v>57.85788087232504</c:v>
                </c:pt>
                <c:pt idx="41">
                  <c:v>58.23618519352749</c:v>
                </c:pt>
                <c:pt idx="42">
                  <c:v>58.87383192894049</c:v>
                </c:pt>
                <c:pt idx="43">
                  <c:v>59.304250296554528</c:v>
                </c:pt>
                <c:pt idx="44">
                  <c:v>59.338765620486811</c:v>
                </c:pt>
                <c:pt idx="45">
                  <c:v>60.018294586916454</c:v>
                </c:pt>
                <c:pt idx="46">
                  <c:v>60.520267450192478</c:v>
                </c:pt>
                <c:pt idx="47">
                  <c:v>60.667128107161261</c:v>
                </c:pt>
                <c:pt idx="48">
                  <c:v>61.213438837148715</c:v>
                </c:pt>
                <c:pt idx="49">
                  <c:v>61.565481498837471</c:v>
                </c:pt>
                <c:pt idx="50">
                  <c:v>61.948151394608431</c:v>
                </c:pt>
                <c:pt idx="51">
                  <c:v>62.254014462814666</c:v>
                </c:pt>
                <c:pt idx="52">
                  <c:v>62.675701681291685</c:v>
                </c:pt>
                <c:pt idx="53">
                  <c:v>62.814581522252411</c:v>
                </c:pt>
                <c:pt idx="54">
                  <c:v>62.913352646864951</c:v>
                </c:pt>
                <c:pt idx="55">
                  <c:v>63.114578349632211</c:v>
                </c:pt>
                <c:pt idx="56">
                  <c:v>63.511982059571892</c:v>
                </c:pt>
                <c:pt idx="57">
                  <c:v>63.574464345583692</c:v>
                </c:pt>
                <c:pt idx="58">
                  <c:v>64.049493428319693</c:v>
                </c:pt>
                <c:pt idx="59">
                  <c:v>64.877997626899742</c:v>
                </c:pt>
                <c:pt idx="60">
                  <c:v>65.172401061863638</c:v>
                </c:pt>
                <c:pt idx="61">
                  <c:v>65.476763463811949</c:v>
                </c:pt>
                <c:pt idx="62">
                  <c:v>66.54926235351013</c:v>
                </c:pt>
                <c:pt idx="63">
                  <c:v>67.646385812258814</c:v>
                </c:pt>
                <c:pt idx="64">
                  <c:v>67.666917655151337</c:v>
                </c:pt>
                <c:pt idx="65">
                  <c:v>67.793792166048661</c:v>
                </c:pt>
                <c:pt idx="66">
                  <c:v>68.804559102864005</c:v>
                </c:pt>
                <c:pt idx="67">
                  <c:v>68.839961184130516</c:v>
                </c:pt>
                <c:pt idx="68">
                  <c:v>68.839961184130516</c:v>
                </c:pt>
                <c:pt idx="69">
                  <c:v>69.028294799500145</c:v>
                </c:pt>
                <c:pt idx="70">
                  <c:v>69.075156514008995</c:v>
                </c:pt>
                <c:pt idx="71">
                  <c:v>69.281361700268462</c:v>
                </c:pt>
                <c:pt idx="72">
                  <c:v>69.547593536844943</c:v>
                </c:pt>
                <c:pt idx="73">
                  <c:v>69.555301504442468</c:v>
                </c:pt>
                <c:pt idx="74">
                  <c:v>69.719965520198457</c:v>
                </c:pt>
                <c:pt idx="75">
                  <c:v>69.845748637453653</c:v>
                </c:pt>
                <c:pt idx="76">
                  <c:v>70.050453157455195</c:v>
                </c:pt>
                <c:pt idx="77">
                  <c:v>70.114572533930186</c:v>
                </c:pt>
                <c:pt idx="78">
                  <c:v>70.354883771506138</c:v>
                </c:pt>
                <c:pt idx="79">
                  <c:v>70.478006616758648</c:v>
                </c:pt>
                <c:pt idx="80">
                  <c:v>71.301190271333326</c:v>
                </c:pt>
                <c:pt idx="81">
                  <c:v>71.679699228843674</c:v>
                </c:pt>
                <c:pt idx="82">
                  <c:v>71.715510582725983</c:v>
                </c:pt>
                <c:pt idx="83">
                  <c:v>71.754868965945207</c:v>
                </c:pt>
                <c:pt idx="84">
                  <c:v>71.890406413876917</c:v>
                </c:pt>
                <c:pt idx="85">
                  <c:v>71.92239789001178</c:v>
                </c:pt>
                <c:pt idx="86">
                  <c:v>72.149203131266404</c:v>
                </c:pt>
                <c:pt idx="87">
                  <c:v>73.321564539219253</c:v>
                </c:pt>
                <c:pt idx="88">
                  <c:v>73.808803588326555</c:v>
                </c:pt>
                <c:pt idx="89">
                  <c:v>73.83902154979296</c:v>
                </c:pt>
                <c:pt idx="90">
                  <c:v>73.919511830899864</c:v>
                </c:pt>
                <c:pt idx="91">
                  <c:v>74.727143126074225</c:v>
                </c:pt>
                <c:pt idx="92">
                  <c:v>74.80558704410214</c:v>
                </c:pt>
                <c:pt idx="93">
                  <c:v>75.69578908951371</c:v>
                </c:pt>
                <c:pt idx="94">
                  <c:v>75.778564476058818</c:v>
                </c:pt>
                <c:pt idx="95">
                  <c:v>76.098274601099547</c:v>
                </c:pt>
                <c:pt idx="96">
                  <c:v>76.776234689168632</c:v>
                </c:pt>
                <c:pt idx="97">
                  <c:v>76.893695929902606</c:v>
                </c:pt>
                <c:pt idx="98">
                  <c:v>77.237962411891203</c:v>
                </c:pt>
                <c:pt idx="99">
                  <c:v>77.597508404869586</c:v>
                </c:pt>
                <c:pt idx="100">
                  <c:v>77.974857756635174</c:v>
                </c:pt>
                <c:pt idx="101">
                  <c:v>78.657251631375402</c:v>
                </c:pt>
                <c:pt idx="102">
                  <c:v>79.077847456210293</c:v>
                </c:pt>
                <c:pt idx="103">
                  <c:v>79.291010276938323</c:v>
                </c:pt>
                <c:pt idx="104">
                  <c:v>79.494384660938522</c:v>
                </c:pt>
                <c:pt idx="105">
                  <c:v>79.757376422639936</c:v>
                </c:pt>
                <c:pt idx="106">
                  <c:v>79.835138219641522</c:v>
                </c:pt>
                <c:pt idx="107">
                  <c:v>80.233224050607532</c:v>
                </c:pt>
                <c:pt idx="108">
                  <c:v>80.253141984576359</c:v>
                </c:pt>
                <c:pt idx="109">
                  <c:v>80.384075115580345</c:v>
                </c:pt>
                <c:pt idx="110">
                  <c:v>80.531617893575458</c:v>
                </c:pt>
                <c:pt idx="111">
                  <c:v>80.687175593629945</c:v>
                </c:pt>
                <c:pt idx="112">
                  <c:v>80.749248607025947</c:v>
                </c:pt>
                <c:pt idx="113">
                  <c:v>81.39890067250235</c:v>
                </c:pt>
                <c:pt idx="114">
                  <c:v>81.858445607940666</c:v>
                </c:pt>
                <c:pt idx="115">
                  <c:v>81.938253768021241</c:v>
                </c:pt>
                <c:pt idx="116">
                  <c:v>81.990504238638096</c:v>
                </c:pt>
                <c:pt idx="117">
                  <c:v>82.239955897966865</c:v>
                </c:pt>
                <c:pt idx="118">
                  <c:v>82.425561029231176</c:v>
                </c:pt>
                <c:pt idx="119">
                  <c:v>82.913686835672706</c:v>
                </c:pt>
                <c:pt idx="120">
                  <c:v>82.967642608855385</c:v>
                </c:pt>
                <c:pt idx="121">
                  <c:v>83.509519552171696</c:v>
                </c:pt>
                <c:pt idx="122">
                  <c:v>83.722682372899726</c:v>
                </c:pt>
                <c:pt idx="123">
                  <c:v>83.773159328848124</c:v>
                </c:pt>
                <c:pt idx="124">
                  <c:v>84.00644471985288</c:v>
                </c:pt>
                <c:pt idx="125">
                  <c:v>84.159649102366529</c:v>
                </c:pt>
                <c:pt idx="126">
                  <c:v>84.677037900837604</c:v>
                </c:pt>
                <c:pt idx="127">
                  <c:v>84.724104251654353</c:v>
                </c:pt>
                <c:pt idx="128">
                  <c:v>84.872806635394227</c:v>
                </c:pt>
                <c:pt idx="129">
                  <c:v>84.956161824811716</c:v>
                </c:pt>
                <c:pt idx="130">
                  <c:v>85.122497037082212</c:v>
                </c:pt>
                <c:pt idx="131">
                  <c:v>85.132865276682423</c:v>
                </c:pt>
                <c:pt idx="132">
                  <c:v>85.192516760434955</c:v>
                </c:pt>
                <c:pt idx="133">
                  <c:v>85.53118985000765</c:v>
                </c:pt>
                <c:pt idx="134">
                  <c:v>85.893600751296617</c:v>
                </c:pt>
                <c:pt idx="135">
                  <c:v>86.312627697770949</c:v>
                </c:pt>
                <c:pt idx="136">
                  <c:v>86.462694323563483</c:v>
                </c:pt>
                <c:pt idx="137">
                  <c:v>86.526199791114777</c:v>
                </c:pt>
                <c:pt idx="138">
                  <c:v>86.589637046563439</c:v>
                </c:pt>
                <c:pt idx="139">
                  <c:v>86.597242696007015</c:v>
                </c:pt>
                <c:pt idx="140">
                  <c:v>86.620059644337744</c:v>
                </c:pt>
                <c:pt idx="141">
                  <c:v>86.814941621560138</c:v>
                </c:pt>
                <c:pt idx="142">
                  <c:v>87.228238751413301</c:v>
                </c:pt>
                <c:pt idx="143">
                  <c:v>87.801356837735511</c:v>
                </c:pt>
                <c:pt idx="144">
                  <c:v>87.843716553470585</c:v>
                </c:pt>
                <c:pt idx="145">
                  <c:v>87.908449838869274</c:v>
                </c:pt>
                <c:pt idx="146">
                  <c:v>87.940816481568618</c:v>
                </c:pt>
                <c:pt idx="147">
                  <c:v>87.973149018216645</c:v>
                </c:pt>
                <c:pt idx="148">
                  <c:v>88.017896157543873</c:v>
                </c:pt>
                <c:pt idx="149">
                  <c:v>88.094907621416496</c:v>
                </c:pt>
                <c:pt idx="150">
                  <c:v>88.18423136981437</c:v>
                </c:pt>
                <c:pt idx="151">
                  <c:v>88.273486906109611</c:v>
                </c:pt>
                <c:pt idx="152">
                  <c:v>88.330409905756824</c:v>
                </c:pt>
                <c:pt idx="153">
                  <c:v>88.851004673051648</c:v>
                </c:pt>
                <c:pt idx="154">
                  <c:v>89.245952747296542</c:v>
                </c:pt>
                <c:pt idx="155">
                  <c:v>90.412720762833487</c:v>
                </c:pt>
                <c:pt idx="156">
                  <c:v>90.767116742063081</c:v>
                </c:pt>
                <c:pt idx="157">
                  <c:v>90.911385339131812</c:v>
                </c:pt>
                <c:pt idx="158">
                  <c:v>91.120216691342648</c:v>
                </c:pt>
                <c:pt idx="159">
                  <c:v>91.146580669010291</c:v>
                </c:pt>
                <c:pt idx="160">
                  <c:v>91.443405633617658</c:v>
                </c:pt>
                <c:pt idx="161">
                  <c:v>91.68692284001736</c:v>
                </c:pt>
                <c:pt idx="162">
                  <c:v>91.720278558204882</c:v>
                </c:pt>
                <c:pt idx="163">
                  <c:v>91.834670254320372</c:v>
                </c:pt>
                <c:pt idx="164">
                  <c:v>91.903700902184937</c:v>
                </c:pt>
                <c:pt idx="165">
                  <c:v>92.169966844812734</c:v>
                </c:pt>
                <c:pt idx="166">
                  <c:v>92.359767020388972</c:v>
                </c:pt>
                <c:pt idx="167">
                  <c:v>92.490052136417944</c:v>
                </c:pt>
                <c:pt idx="168">
                  <c:v>92.594212017138489</c:v>
                </c:pt>
                <c:pt idx="169">
                  <c:v>93.200822245853487</c:v>
                </c:pt>
                <c:pt idx="170">
                  <c:v>93.438404999324121</c:v>
                </c:pt>
                <c:pt idx="171">
                  <c:v>93.494816408201586</c:v>
                </c:pt>
                <c:pt idx="172">
                  <c:v>93.551193711027736</c:v>
                </c:pt>
                <c:pt idx="173">
                  <c:v>94.141808201675303</c:v>
                </c:pt>
                <c:pt idx="174">
                  <c:v>94.176903328479966</c:v>
                </c:pt>
                <c:pt idx="175">
                  <c:v>94.457289176352788</c:v>
                </c:pt>
                <c:pt idx="176">
                  <c:v>94.839686223713215</c:v>
                </c:pt>
                <c:pt idx="177">
                  <c:v>94.853669704752974</c:v>
                </c:pt>
                <c:pt idx="178">
                  <c:v>94.897939359361771</c:v>
                </c:pt>
                <c:pt idx="179">
                  <c:v>95.084090187447146</c:v>
                </c:pt>
                <c:pt idx="180">
                  <c:v>95.11898067794391</c:v>
                </c:pt>
                <c:pt idx="181">
                  <c:v>95.416419551474974</c:v>
                </c:pt>
                <c:pt idx="182">
                  <c:v>95.826988197222818</c:v>
                </c:pt>
                <c:pt idx="183">
                  <c:v>96.016890690953005</c:v>
                </c:pt>
                <c:pt idx="184">
                  <c:v>96.394001300359378</c:v>
                </c:pt>
                <c:pt idx="185">
                  <c:v>96.437895788403694</c:v>
                </c:pt>
                <c:pt idx="186">
                  <c:v>96.516476130636875</c:v>
                </c:pt>
                <c:pt idx="187">
                  <c:v>96.795907009072835</c:v>
                </c:pt>
                <c:pt idx="188">
                  <c:v>97.033523868594784</c:v>
                </c:pt>
                <c:pt idx="189">
                  <c:v>97.181100752641214</c:v>
                </c:pt>
                <c:pt idx="190">
                  <c:v>97.204156443331158</c:v>
                </c:pt>
                <c:pt idx="191">
                  <c:v>97.227178027969785</c:v>
                </c:pt>
                <c:pt idx="192">
                  <c:v>97.282498043205123</c:v>
                </c:pt>
                <c:pt idx="193">
                  <c:v>97.692452780029271</c:v>
                </c:pt>
                <c:pt idx="194">
                  <c:v>97.832833287247922</c:v>
                </c:pt>
                <c:pt idx="195">
                  <c:v>97.959366737632081</c:v>
                </c:pt>
                <c:pt idx="196">
                  <c:v>98.168641468510032</c:v>
                </c:pt>
                <c:pt idx="197">
                  <c:v>98.508815224340651</c:v>
                </c:pt>
                <c:pt idx="198">
                  <c:v>98.522594069072511</c:v>
                </c:pt>
                <c:pt idx="199">
                  <c:v>98.669659362349194</c:v>
                </c:pt>
                <c:pt idx="200">
                  <c:v>98.910789145156741</c:v>
                </c:pt>
                <c:pt idx="201">
                  <c:v>99.480155565834139</c:v>
                </c:pt>
                <c:pt idx="202">
                  <c:v>99.498538727493724</c:v>
                </c:pt>
                <c:pt idx="203">
                  <c:v>99.633939751220169</c:v>
                </c:pt>
                <c:pt idx="204">
                  <c:v>100.05392166713136</c:v>
                </c:pt>
                <c:pt idx="205">
                  <c:v>100.4808271114598</c:v>
                </c:pt>
                <c:pt idx="206">
                  <c:v>100.82284259406151</c:v>
                </c:pt>
                <c:pt idx="207">
                  <c:v>100.91465608420549</c:v>
                </c:pt>
                <c:pt idx="208">
                  <c:v>100.96059693532879</c:v>
                </c:pt>
                <c:pt idx="209">
                  <c:v>101.4130819181446</c:v>
                </c:pt>
                <c:pt idx="210">
                  <c:v>101.42914586831466</c:v>
                </c:pt>
                <c:pt idx="211">
                  <c:v>101.56703663378721</c:v>
                </c:pt>
                <c:pt idx="212">
                  <c:v>101.72791487784707</c:v>
                </c:pt>
                <c:pt idx="213">
                  <c:v>101.9808112483588</c:v>
                </c:pt>
                <c:pt idx="214">
                  <c:v>101.99462419914198</c:v>
                </c:pt>
                <c:pt idx="215">
                  <c:v>102.1694859242416</c:v>
                </c:pt>
                <c:pt idx="216">
                  <c:v>102.39963355852524</c:v>
                </c:pt>
                <c:pt idx="217">
                  <c:v>102.51477558776969</c:v>
                </c:pt>
                <c:pt idx="218">
                  <c:v>102.51937990469742</c:v>
                </c:pt>
                <c:pt idx="219">
                  <c:v>102.67370978690451</c:v>
                </c:pt>
                <c:pt idx="220">
                  <c:v>102.88114279101137</c:v>
                </c:pt>
                <c:pt idx="221">
                  <c:v>103.07026084556128</c:v>
                </c:pt>
                <c:pt idx="222">
                  <c:v>103.28720943798544</c:v>
                </c:pt>
                <c:pt idx="223">
                  <c:v>103.43270585290156</c:v>
                </c:pt>
                <c:pt idx="224">
                  <c:v>103.73318016499979</c:v>
                </c:pt>
                <c:pt idx="225">
                  <c:v>103.78638560505351</c:v>
                </c:pt>
                <c:pt idx="226">
                  <c:v>103.99003283746424</c:v>
                </c:pt>
                <c:pt idx="227">
                  <c:v>104.03171043217299</c:v>
                </c:pt>
                <c:pt idx="228">
                  <c:v>104.63930973637616</c:v>
                </c:pt>
                <c:pt idx="229">
                  <c:v>104.66488927486353</c:v>
                </c:pt>
                <c:pt idx="230">
                  <c:v>104.68808138975874</c:v>
                </c:pt>
                <c:pt idx="231">
                  <c:v>105.20454932484427</c:v>
                </c:pt>
                <c:pt idx="232">
                  <c:v>105.2162135943945</c:v>
                </c:pt>
                <c:pt idx="233">
                  <c:v>105.46569935977459</c:v>
                </c:pt>
                <c:pt idx="234">
                  <c:v>106.23526830167975</c:v>
                </c:pt>
                <c:pt idx="235">
                  <c:v>106.24696667728131</c:v>
                </c:pt>
                <c:pt idx="236">
                  <c:v>106.32203409622889</c:v>
                </c:pt>
                <c:pt idx="237">
                  <c:v>106.33376657788176</c:v>
                </c:pt>
                <c:pt idx="238">
                  <c:v>106.60627392790047</c:v>
                </c:pt>
                <c:pt idx="239">
                  <c:v>106.60627392790047</c:v>
                </c:pt>
                <c:pt idx="240">
                  <c:v>106.79215190757532</c:v>
                </c:pt>
                <c:pt idx="241">
                  <c:v>107.19064701115713</c:v>
                </c:pt>
                <c:pt idx="242">
                  <c:v>107.29698967916192</c:v>
                </c:pt>
                <c:pt idx="243">
                  <c:v>107.36554284230806</c:v>
                </c:pt>
                <c:pt idx="244">
                  <c:v>107.58573150960729</c:v>
                </c:pt>
                <c:pt idx="245">
                  <c:v>107.88467104939627</c:v>
                </c:pt>
                <c:pt idx="246">
                  <c:v>107.90366811997956</c:v>
                </c:pt>
                <c:pt idx="247">
                  <c:v>108.47538785819779</c:v>
                </c:pt>
                <c:pt idx="248">
                  <c:v>108.5327201304608</c:v>
                </c:pt>
                <c:pt idx="249">
                  <c:v>109.03578438737895</c:v>
                </c:pt>
                <c:pt idx="250">
                  <c:v>109.26415850699414</c:v>
                </c:pt>
                <c:pt idx="251">
                  <c:v>109.49553395912517</c:v>
                </c:pt>
                <c:pt idx="252">
                  <c:v>109.74437170953024</c:v>
                </c:pt>
                <c:pt idx="253">
                  <c:v>110.26844529405935</c:v>
                </c:pt>
                <c:pt idx="254">
                  <c:v>110.30739440466277</c:v>
                </c:pt>
                <c:pt idx="255">
                  <c:v>110.33658918458968</c:v>
                </c:pt>
                <c:pt idx="256">
                  <c:v>110.53651885740692</c:v>
                </c:pt>
                <c:pt idx="257">
                  <c:v>110.87652208298096</c:v>
                </c:pt>
                <c:pt idx="258">
                  <c:v>110.95008883567061</c:v>
                </c:pt>
                <c:pt idx="259">
                  <c:v>111.03596787288552</c:v>
                </c:pt>
                <c:pt idx="260">
                  <c:v>111.08016931539169</c:v>
                </c:pt>
                <c:pt idx="261">
                  <c:v>111.78350430564024</c:v>
                </c:pt>
                <c:pt idx="262">
                  <c:v>111.78599404738634</c:v>
                </c:pt>
                <c:pt idx="263">
                  <c:v>111.9125274977705</c:v>
                </c:pt>
                <c:pt idx="264">
                  <c:v>112.11644757859176</c:v>
                </c:pt>
                <c:pt idx="265">
                  <c:v>112.40334768226603</c:v>
                </c:pt>
                <c:pt idx="266">
                  <c:v>113.37489266006742</c:v>
                </c:pt>
                <c:pt idx="267">
                  <c:v>113.81226866215002</c:v>
                </c:pt>
                <c:pt idx="268">
                  <c:v>114.1345708470908</c:v>
                </c:pt>
                <c:pt idx="269">
                  <c:v>115.06464286649134</c:v>
                </c:pt>
                <c:pt idx="270">
                  <c:v>115.07507931819418</c:v>
                </c:pt>
                <c:pt idx="271">
                  <c:v>115.31249154140824</c:v>
                </c:pt>
                <c:pt idx="272">
                  <c:v>115.35693172627361</c:v>
                </c:pt>
                <c:pt idx="273">
                  <c:v>115.83506445967942</c:v>
                </c:pt>
                <c:pt idx="274">
                  <c:v>116.13659605936846</c:v>
                </c:pt>
                <c:pt idx="275">
                  <c:v>116.16313056729268</c:v>
                </c:pt>
                <c:pt idx="276">
                  <c:v>116.29859980312176</c:v>
                </c:pt>
                <c:pt idx="277">
                  <c:v>116.31190116313519</c:v>
                </c:pt>
                <c:pt idx="278">
                  <c:v>116.43979885557201</c:v>
                </c:pt>
                <c:pt idx="279">
                  <c:v>116.54655079619261</c:v>
                </c:pt>
                <c:pt idx="280">
                  <c:v>116.68566937951255</c:v>
                </c:pt>
                <c:pt idx="281">
                  <c:v>116.91114448476583</c:v>
                </c:pt>
                <c:pt idx="282">
                  <c:v>117.0890075423813</c:v>
                </c:pt>
                <c:pt idx="283">
                  <c:v>117.21332409942988</c:v>
                </c:pt>
                <c:pt idx="284">
                  <c:v>117.38133050821489</c:v>
                </c:pt>
                <c:pt idx="285">
                  <c:v>117.48187514749588</c:v>
                </c:pt>
                <c:pt idx="286">
                  <c:v>118.03422264856636</c:v>
                </c:pt>
                <c:pt idx="287">
                  <c:v>118.06174623197876</c:v>
                </c:pt>
                <c:pt idx="288">
                  <c:v>118.17187467167969</c:v>
                </c:pt>
                <c:pt idx="289">
                  <c:v>118.64004843810108</c:v>
                </c:pt>
                <c:pt idx="290">
                  <c:v>118.64004843810108</c:v>
                </c:pt>
                <c:pt idx="291">
                  <c:v>118.80737272585975</c:v>
                </c:pt>
                <c:pt idx="292">
                  <c:v>119.81527475436451</c:v>
                </c:pt>
                <c:pt idx="293">
                  <c:v>120.25415142270504</c:v>
                </c:pt>
                <c:pt idx="294">
                  <c:v>120.35513944065315</c:v>
                </c:pt>
                <c:pt idx="295">
                  <c:v>120.49981731033768</c:v>
                </c:pt>
                <c:pt idx="296">
                  <c:v>120.528841560008</c:v>
                </c:pt>
                <c:pt idx="297">
                  <c:v>120.69446054520085</c:v>
                </c:pt>
                <c:pt idx="298">
                  <c:v>121.12160473188851</c:v>
                </c:pt>
                <c:pt idx="299">
                  <c:v>121.31317842213321</c:v>
                </c:pt>
                <c:pt idx="300">
                  <c:v>121.33681391569553</c:v>
                </c:pt>
                <c:pt idx="301">
                  <c:v>121.78844624722842</c:v>
                </c:pt>
                <c:pt idx="302">
                  <c:v>122.46626991109224</c:v>
                </c:pt>
                <c:pt idx="303">
                  <c:v>122.73754944326356</c:v>
                </c:pt>
                <c:pt idx="304">
                  <c:v>122.77117800986161</c:v>
                </c:pt>
                <c:pt idx="305">
                  <c:v>122.89689291501418</c:v>
                </c:pt>
                <c:pt idx="306">
                  <c:v>122.9122406381066</c:v>
                </c:pt>
                <c:pt idx="307">
                  <c:v>123.14641278644558</c:v>
                </c:pt>
                <c:pt idx="308">
                  <c:v>123.67546585446689</c:v>
                </c:pt>
                <c:pt idx="309">
                  <c:v>123.87021140748402</c:v>
                </c:pt>
                <c:pt idx="310">
                  <c:v>123.92382612015354</c:v>
                </c:pt>
                <c:pt idx="311">
                  <c:v>124.15793005638989</c:v>
                </c:pt>
                <c:pt idx="312">
                  <c:v>124.18016720184823</c:v>
                </c:pt>
                <c:pt idx="313">
                  <c:v>124.1865109273931</c:v>
                </c:pt>
                <c:pt idx="314">
                  <c:v>124.44789970468264</c:v>
                </c:pt>
                <c:pt idx="315">
                  <c:v>124.486303118465</c:v>
                </c:pt>
                <c:pt idx="316">
                  <c:v>124.7304342337884</c:v>
                </c:pt>
                <c:pt idx="317">
                  <c:v>124.93084139132407</c:v>
                </c:pt>
                <c:pt idx="318">
                  <c:v>125.03472842363408</c:v>
                </c:pt>
                <c:pt idx="319">
                  <c:v>125.05423708498711</c:v>
                </c:pt>
                <c:pt idx="320">
                  <c:v>125.14216248528101</c:v>
                </c:pt>
                <c:pt idx="321">
                  <c:v>125.66773673606804</c:v>
                </c:pt>
                <c:pt idx="322">
                  <c:v>125.72735411376925</c:v>
                </c:pt>
                <c:pt idx="323">
                  <c:v>125.9869011642877</c:v>
                </c:pt>
                <c:pt idx="324">
                  <c:v>125.99692834337475</c:v>
                </c:pt>
                <c:pt idx="325">
                  <c:v>126.51186150615104</c:v>
                </c:pt>
                <c:pt idx="326">
                  <c:v>126.71254151209723</c:v>
                </c:pt>
                <c:pt idx="327">
                  <c:v>126.85953859327128</c:v>
                </c:pt>
                <c:pt idx="328">
                  <c:v>127.43674940575147</c:v>
                </c:pt>
                <c:pt idx="329">
                  <c:v>128.44240043486934</c:v>
                </c:pt>
                <c:pt idx="330">
                  <c:v>128.56490937119815</c:v>
                </c:pt>
                <c:pt idx="331">
                  <c:v>129.1370724880835</c:v>
                </c:pt>
                <c:pt idx="332">
                  <c:v>129.27718014689162</c:v>
                </c:pt>
                <c:pt idx="333">
                  <c:v>129.53318016807316</c:v>
                </c:pt>
                <c:pt idx="334">
                  <c:v>129.62642611237243</c:v>
                </c:pt>
                <c:pt idx="335">
                  <c:v>129.91182554978877</c:v>
                </c:pt>
                <c:pt idx="336">
                  <c:v>129.96468992932932</c:v>
                </c:pt>
                <c:pt idx="337">
                  <c:v>131.01870333921397</c:v>
                </c:pt>
                <c:pt idx="338">
                  <c:v>131.08930286543909</c:v>
                </c:pt>
                <c:pt idx="339">
                  <c:v>131.46467406622833</c:v>
                </c:pt>
                <c:pt idx="340">
                  <c:v>131.75252913933946</c:v>
                </c:pt>
                <c:pt idx="341">
                  <c:v>131.86528374499176</c:v>
                </c:pt>
                <c:pt idx="342">
                  <c:v>131.91371433786117</c:v>
                </c:pt>
                <c:pt idx="343">
                  <c:v>132.50593181292061</c:v>
                </c:pt>
                <c:pt idx="344">
                  <c:v>132.69228727731388</c:v>
                </c:pt>
                <c:pt idx="345">
                  <c:v>132.8632268065121</c:v>
                </c:pt>
                <c:pt idx="346">
                  <c:v>133.16172296763398</c:v>
                </c:pt>
                <c:pt idx="347">
                  <c:v>133.31438165332656</c:v>
                </c:pt>
                <c:pt idx="348">
                  <c:v>134.42999059188878</c:v>
                </c:pt>
                <c:pt idx="349">
                  <c:v>135.15385742502986</c:v>
                </c:pt>
                <c:pt idx="350">
                  <c:v>135.41967998899054</c:v>
                </c:pt>
                <c:pt idx="351">
                  <c:v>135.48427685018396</c:v>
                </c:pt>
                <c:pt idx="352">
                  <c:v>135.66510713426396</c:v>
                </c:pt>
                <c:pt idx="353">
                  <c:v>135.73495632736012</c:v>
                </c:pt>
                <c:pt idx="354">
                  <c:v>136.02588094508974</c:v>
                </c:pt>
                <c:pt idx="355">
                  <c:v>136.55056843854254</c:v>
                </c:pt>
                <c:pt idx="356">
                  <c:v>136.59879439510405</c:v>
                </c:pt>
                <c:pt idx="357">
                  <c:v>136.69074430945329</c:v>
                </c:pt>
                <c:pt idx="358">
                  <c:v>137.44905825442402</c:v>
                </c:pt>
                <c:pt idx="359">
                  <c:v>137.76126504817512</c:v>
                </c:pt>
                <c:pt idx="360">
                  <c:v>138.57053343381267</c:v>
                </c:pt>
                <c:pt idx="361">
                  <c:v>138.7706677429378</c:v>
                </c:pt>
                <c:pt idx="362">
                  <c:v>138.96193447872065</c:v>
                </c:pt>
                <c:pt idx="363">
                  <c:v>139.23014446627349</c:v>
                </c:pt>
                <c:pt idx="364">
                  <c:v>140.57515070599038</c:v>
                </c:pt>
                <c:pt idx="365">
                  <c:v>140.64977474627085</c:v>
                </c:pt>
                <c:pt idx="366">
                  <c:v>140.80543476447929</c:v>
                </c:pt>
                <c:pt idx="367">
                  <c:v>141.04990694031585</c:v>
                </c:pt>
                <c:pt idx="368">
                  <c:v>141.79403276793892</c:v>
                </c:pt>
                <c:pt idx="369">
                  <c:v>144.2171312897699</c:v>
                </c:pt>
                <c:pt idx="370">
                  <c:v>144.51862878340762</c:v>
                </c:pt>
                <c:pt idx="371">
                  <c:v>144.88069862418342</c:v>
                </c:pt>
                <c:pt idx="372">
                  <c:v>145.02885531110223</c:v>
                </c:pt>
                <c:pt idx="373">
                  <c:v>145.91179276758339</c:v>
                </c:pt>
                <c:pt idx="374">
                  <c:v>146.09023562807124</c:v>
                </c:pt>
                <c:pt idx="375">
                  <c:v>146.33839125744998</c:v>
                </c:pt>
                <c:pt idx="376">
                  <c:v>149.3932020617649</c:v>
                </c:pt>
                <c:pt idx="377">
                  <c:v>149.85281520930585</c:v>
                </c:pt>
                <c:pt idx="378">
                  <c:v>150.58882379671559</c:v>
                </c:pt>
                <c:pt idx="379">
                  <c:v>150.70342012913898</c:v>
                </c:pt>
                <c:pt idx="380">
                  <c:v>150.75130502518732</c:v>
                </c:pt>
                <c:pt idx="381">
                  <c:v>151.03192961541936</c:v>
                </c:pt>
                <c:pt idx="382">
                  <c:v>151.06112439534627</c:v>
                </c:pt>
                <c:pt idx="383">
                  <c:v>152.49603418633342</c:v>
                </c:pt>
                <c:pt idx="384">
                  <c:v>153.5687377123395</c:v>
                </c:pt>
                <c:pt idx="385">
                  <c:v>153.71621227823198</c:v>
                </c:pt>
                <c:pt idx="386">
                  <c:v>154.52220648294315</c:v>
                </c:pt>
                <c:pt idx="387">
                  <c:v>155.40732672670856</c:v>
                </c:pt>
                <c:pt idx="388">
                  <c:v>156.26325219054706</c:v>
                </c:pt>
                <c:pt idx="389">
                  <c:v>156.31673047901131</c:v>
                </c:pt>
                <c:pt idx="390">
                  <c:v>157.26678864448331</c:v>
                </c:pt>
                <c:pt idx="391">
                  <c:v>158.03758540423587</c:v>
                </c:pt>
                <c:pt idx="392">
                  <c:v>158.44549377798103</c:v>
                </c:pt>
                <c:pt idx="393">
                  <c:v>158.59938028152101</c:v>
                </c:pt>
                <c:pt idx="394">
                  <c:v>159.93988452246413</c:v>
                </c:pt>
                <c:pt idx="395">
                  <c:v>170.41235221549869</c:v>
                </c:pt>
                <c:pt idx="396">
                  <c:v>174.86851245630533</c:v>
                </c:pt>
                <c:pt idx="397">
                  <c:v>177.39181455690414</c:v>
                </c:pt>
                <c:pt idx="398">
                  <c:v>193.49314495921135</c:v>
                </c:pt>
                <c:pt idx="399">
                  <c:v>196.60143405199051</c:v>
                </c:pt>
              </c:numCache>
            </c:numRef>
          </c:xVal>
          <c:yVal>
            <c:numRef>
              <c:f>Лист1!$C$7:$C$406</c:f>
              <c:numCache>
                <c:formatCode>General</c:formatCode>
                <c:ptCount val="40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25.399120000656694</c:v>
                </c:pt>
                <c:pt idx="9">
                  <c:v>27.941157692112029</c:v>
                </c:pt>
                <c:pt idx="10">
                  <c:v>46.972334326710552</c:v>
                </c:pt>
                <c:pt idx="11">
                  <c:v>60.719346744008362</c:v>
                </c:pt>
                <c:pt idx="12">
                  <c:v>76.544554554857314</c:v>
                </c:pt>
                <c:pt idx="13">
                  <c:v>78.850123623851687</c:v>
                </c:pt>
                <c:pt idx="14">
                  <c:v>107.75386524619535</c:v>
                </c:pt>
                <c:pt idx="15">
                  <c:v>135.65716269658878</c:v>
                </c:pt>
                <c:pt idx="16">
                  <c:v>151.25044935848564</c:v>
                </c:pt>
                <c:pt idx="17">
                  <c:v>166.36852503870614</c:v>
                </c:pt>
                <c:pt idx="18">
                  <c:v>176.0387274553068</c:v>
                </c:pt>
                <c:pt idx="19">
                  <c:v>186.56158115481958</c:v>
                </c:pt>
                <c:pt idx="20">
                  <c:v>188.28052614117041</c:v>
                </c:pt>
                <c:pt idx="21">
                  <c:v>189.70615908619948</c:v>
                </c:pt>
                <c:pt idx="22">
                  <c:v>191.12497082096525</c:v>
                </c:pt>
                <c:pt idx="23">
                  <c:v>198.39865469839424</c:v>
                </c:pt>
                <c:pt idx="24">
                  <c:v>201.97296887636185</c:v>
                </c:pt>
                <c:pt idx="25">
                  <c:v>213.12110018334351</c:v>
                </c:pt>
                <c:pt idx="26">
                  <c:v>217.18426776351407</c:v>
                </c:pt>
                <c:pt idx="27">
                  <c:v>224.90815151832066</c:v>
                </c:pt>
                <c:pt idx="28">
                  <c:v>239.70108284265734</c:v>
                </c:pt>
                <c:pt idx="29">
                  <c:v>259.1710906708613</c:v>
                </c:pt>
                <c:pt idx="30">
                  <c:v>269.00159152864944</c:v>
                </c:pt>
                <c:pt idx="31">
                  <c:v>271.2218954693526</c:v>
                </c:pt>
                <c:pt idx="32">
                  <c:v>281.79022390395403</c:v>
                </c:pt>
                <c:pt idx="33">
                  <c:v>283.18402453442104</c:v>
                </c:pt>
                <c:pt idx="34">
                  <c:v>289.43339000397827</c:v>
                </c:pt>
                <c:pt idx="35">
                  <c:v>302.62447378481738</c:v>
                </c:pt>
                <c:pt idx="36">
                  <c:v>304.44118945160881</c:v>
                </c:pt>
                <c:pt idx="37">
                  <c:v>306.2488101713825</c:v>
                </c:pt>
                <c:pt idx="38">
                  <c:v>307.1492099261377</c:v>
                </c:pt>
                <c:pt idx="39">
                  <c:v>314.07501208013855</c:v>
                </c:pt>
                <c:pt idx="40">
                  <c:v>344.63176032295399</c:v>
                </c:pt>
                <c:pt idx="41">
                  <c:v>351.07894089014735</c:v>
                </c:pt>
                <c:pt idx="42">
                  <c:v>368.95392238511704</c:v>
                </c:pt>
                <c:pt idx="43">
                  <c:v>369.88615445443429</c:v>
                </c:pt>
                <c:pt idx="44">
                  <c:v>371.57440399460029</c:v>
                </c:pt>
                <c:pt idx="45">
                  <c:v>373.25583232450299</c:v>
                </c:pt>
                <c:pt idx="46">
                  <c:v>381.80735625792295</c:v>
                </c:pt>
                <c:pt idx="47">
                  <c:v>391.94708531431388</c:v>
                </c:pt>
                <c:pt idx="48">
                  <c:v>394.42432150826789</c:v>
                </c:pt>
                <c:pt idx="49">
                  <c:v>413.87386570568196</c:v>
                </c:pt>
                <c:pt idx="50">
                  <c:v>419.23874757776503</c:v>
                </c:pt>
                <c:pt idx="51">
                  <c:v>427.27413326792885</c:v>
                </c:pt>
                <c:pt idx="52">
                  <c:v>430.06514513399452</c:v>
                </c:pt>
                <c:pt idx="53">
                  <c:v>437.40249364054762</c:v>
                </c:pt>
                <c:pt idx="54">
                  <c:v>439.48637337598484</c:v>
                </c:pt>
                <c:pt idx="55">
                  <c:v>442.4877058918355</c:v>
                </c:pt>
                <c:pt idx="56">
                  <c:v>449.62382869562134</c:v>
                </c:pt>
                <c:pt idx="57">
                  <c:v>454.98984743608162</c:v>
                </c:pt>
                <c:pt idx="58">
                  <c:v>466.95766084303614</c:v>
                </c:pt>
                <c:pt idx="59">
                  <c:v>471.19249554816633</c:v>
                </c:pt>
                <c:pt idx="60">
                  <c:v>473.3286712289555</c:v>
                </c:pt>
                <c:pt idx="61">
                  <c:v>474.39391689840704</c:v>
                </c:pt>
                <c:pt idx="62">
                  <c:v>481.64941088180058</c:v>
                </c:pt>
                <c:pt idx="63">
                  <c:v>483.08754937897902</c:v>
                </c:pt>
                <c:pt idx="64">
                  <c:v>483.5434335982427</c:v>
                </c:pt>
                <c:pt idx="65">
                  <c:v>489.37784211011603</c:v>
                </c:pt>
                <c:pt idx="66">
                  <c:v>491.75617075525224</c:v>
                </c:pt>
                <c:pt idx="67">
                  <c:v>495.5874171864707</c:v>
                </c:pt>
                <c:pt idx="68">
                  <c:v>501.90954223216977</c:v>
                </c:pt>
                <c:pt idx="69">
                  <c:v>506.10117593896575</c:v>
                </c:pt>
                <c:pt idx="70">
                  <c:v>506.10117593896575</c:v>
                </c:pt>
                <c:pt idx="71">
                  <c:v>517.55967231292743</c:v>
                </c:pt>
                <c:pt idx="72">
                  <c:v>534.81847114744596</c:v>
                </c:pt>
                <c:pt idx="73">
                  <c:v>538.22793941071723</c:v>
                </c:pt>
                <c:pt idx="74">
                  <c:v>542.42980493290816</c:v>
                </c:pt>
                <c:pt idx="75">
                  <c:v>552.6832208270207</c:v>
                </c:pt>
                <c:pt idx="76">
                  <c:v>553.7098129716469</c:v>
                </c:pt>
                <c:pt idx="77">
                  <c:v>557.06016407930292</c:v>
                </c:pt>
                <c:pt idx="78">
                  <c:v>558.53127175942063</c:v>
                </c:pt>
                <c:pt idx="79">
                  <c:v>558.98260850517545</c:v>
                </c:pt>
                <c:pt idx="80">
                  <c:v>563.2003901846474</c:v>
                </c:pt>
                <c:pt idx="81">
                  <c:v>565.93796923698392</c:v>
                </c:pt>
                <c:pt idx="82">
                  <c:v>566.94068714568857</c:v>
                </c:pt>
                <c:pt idx="83">
                  <c:v>569.99431560689118</c:v>
                </c:pt>
                <c:pt idx="84">
                  <c:v>579.16770654264838</c:v>
                </c:pt>
                <c:pt idx="85">
                  <c:v>592.42927616287488</c:v>
                </c:pt>
                <c:pt idx="86">
                  <c:v>602.74067234422546</c:v>
                </c:pt>
                <c:pt idx="87">
                  <c:v>603.89345687872265</c:v>
                </c:pt>
                <c:pt idx="88">
                  <c:v>608.48299451754428</c:v>
                </c:pt>
                <c:pt idx="89">
                  <c:v>613.45338306273334</c:v>
                </c:pt>
                <c:pt idx="90">
                  <c:v>613.86492941528559</c:v>
                </c:pt>
                <c:pt idx="91">
                  <c:v>617.36079967522528</c:v>
                </c:pt>
                <c:pt idx="92">
                  <c:v>623.99101605114993</c:v>
                </c:pt>
                <c:pt idx="93">
                  <c:v>630.25402394123375</c:v>
                </c:pt>
                <c:pt idx="94">
                  <c:v>635.31365665403428</c:v>
                </c:pt>
                <c:pt idx="95">
                  <c:v>646.5498952602502</c:v>
                </c:pt>
                <c:pt idx="96">
                  <c:v>646.648802809068</c:v>
                </c:pt>
                <c:pt idx="97">
                  <c:v>650.12648317497224</c:v>
                </c:pt>
                <c:pt idx="98">
                  <c:v>650.76085572945885</c:v>
                </c:pt>
                <c:pt idx="99">
                  <c:v>651.1513700170326</c:v>
                </c:pt>
                <c:pt idx="100">
                  <c:v>655.96543916035444</c:v>
                </c:pt>
                <c:pt idx="101">
                  <c:v>658.0947936308803</c:v>
                </c:pt>
                <c:pt idx="102">
                  <c:v>658.43301197310211</c:v>
                </c:pt>
                <c:pt idx="103">
                  <c:v>658.96449793945067</c:v>
                </c:pt>
                <c:pt idx="104">
                  <c:v>661.22913974686526</c:v>
                </c:pt>
                <c:pt idx="105">
                  <c:v>661.27688821870834</c:v>
                </c:pt>
                <c:pt idx="106">
                  <c:v>664.92509884119499</c:v>
                </c:pt>
                <c:pt idx="107">
                  <c:v>665.16384120041039</c:v>
                </c:pt>
                <c:pt idx="108">
                  <c:v>670.26838021411095</c:v>
                </c:pt>
                <c:pt idx="109">
                  <c:v>681.500071346818</c:v>
                </c:pt>
                <c:pt idx="110">
                  <c:v>683.04450703726616</c:v>
                </c:pt>
                <c:pt idx="111">
                  <c:v>690.58421811496373</c:v>
                </c:pt>
                <c:pt idx="112">
                  <c:v>692.38842822960578</c:v>
                </c:pt>
                <c:pt idx="113">
                  <c:v>692.98926316696452</c:v>
                </c:pt>
                <c:pt idx="114">
                  <c:v>696.35382512933575</c:v>
                </c:pt>
                <c:pt idx="115">
                  <c:v>699.38357935461681</c:v>
                </c:pt>
                <c:pt idx="116">
                  <c:v>710.2656834613299</c:v>
                </c:pt>
                <c:pt idx="117">
                  <c:v>713.47165228507947</c:v>
                </c:pt>
                <c:pt idx="118">
                  <c:v>714.50847624510061</c:v>
                </c:pt>
                <c:pt idx="119">
                  <c:v>715.31792652967852</c:v>
                </c:pt>
                <c:pt idx="120">
                  <c:v>717.3847532394575</c:v>
                </c:pt>
                <c:pt idx="121">
                  <c:v>718.14759192056954</c:v>
                </c:pt>
                <c:pt idx="122">
                  <c:v>726.35919220920186</c:v>
                </c:pt>
                <c:pt idx="123">
                  <c:v>731.10107021057047</c:v>
                </c:pt>
                <c:pt idx="124">
                  <c:v>732.20496940484736</c:v>
                </c:pt>
                <c:pt idx="125">
                  <c:v>738.01436681242194</c:v>
                </c:pt>
                <c:pt idx="126">
                  <c:v>738.54130530526163</c:v>
                </c:pt>
                <c:pt idx="127">
                  <c:v>747.18548401142471</c:v>
                </c:pt>
                <c:pt idx="128">
                  <c:v>748.57530560257146</c:v>
                </c:pt>
                <c:pt idx="129">
                  <c:v>750.69954416539986</c:v>
                </c:pt>
                <c:pt idx="130">
                  <c:v>756.01326696050819</c:v>
                </c:pt>
                <c:pt idx="131">
                  <c:v>765.96086526114959</c:v>
                </c:pt>
                <c:pt idx="132">
                  <c:v>769.24186739779543</c:v>
                </c:pt>
                <c:pt idx="133">
                  <c:v>771.96182499028509</c:v>
                </c:pt>
                <c:pt idx="134">
                  <c:v>777.67629388836212</c:v>
                </c:pt>
                <c:pt idx="135">
                  <c:v>780.71286932390649</c:v>
                </c:pt>
                <c:pt idx="136">
                  <c:v>783.27878125128336</c:v>
                </c:pt>
                <c:pt idx="137">
                  <c:v>784.24455093772849</c:v>
                </c:pt>
                <c:pt idx="138">
                  <c:v>786.92812874214724</c:v>
                </c:pt>
                <c:pt idx="139">
                  <c:v>787.05375269782962</c:v>
                </c:pt>
                <c:pt idx="140">
                  <c:v>788.22586399473948</c:v>
                </c:pt>
                <c:pt idx="141">
                  <c:v>793.52764967188705</c:v>
                </c:pt>
                <c:pt idx="142">
                  <c:v>793.56914536765544</c:v>
                </c:pt>
                <c:pt idx="143">
                  <c:v>797.85229697881732</c:v>
                </c:pt>
                <c:pt idx="144">
                  <c:v>808.18586209352361</c:v>
                </c:pt>
                <c:pt idx="145">
                  <c:v>813.23981046443805</c:v>
                </c:pt>
                <c:pt idx="146">
                  <c:v>814.51082931016572</c:v>
                </c:pt>
                <c:pt idx="147">
                  <c:v>817.29445153177949</c:v>
                </c:pt>
                <c:pt idx="148">
                  <c:v>819.62332640250679</c:v>
                </c:pt>
                <c:pt idx="149">
                  <c:v>821.13251917326124</c:v>
                </c:pt>
                <c:pt idx="150">
                  <c:v>821.86636771075428</c:v>
                </c:pt>
                <c:pt idx="151">
                  <c:v>823.21071456681238</c:v>
                </c:pt>
                <c:pt idx="152">
                  <c:v>823.21071456681238</c:v>
                </c:pt>
                <c:pt idx="153">
                  <c:v>824.43171120394254</c:v>
                </c:pt>
                <c:pt idx="154">
                  <c:v>826.01707415597048</c:v>
                </c:pt>
                <c:pt idx="155">
                  <c:v>830.07569426263217</c:v>
                </c:pt>
                <c:pt idx="156">
                  <c:v>836.46432610839838</c:v>
                </c:pt>
                <c:pt idx="157">
                  <c:v>844.91523719043471</c:v>
                </c:pt>
                <c:pt idx="158">
                  <c:v>849.08356509549776</c:v>
                </c:pt>
                <c:pt idx="159">
                  <c:v>850.40403771563433</c:v>
                </c:pt>
                <c:pt idx="160">
                  <c:v>853.92037160636391</c:v>
                </c:pt>
                <c:pt idx="161">
                  <c:v>854.63887242076453</c:v>
                </c:pt>
                <c:pt idx="162">
                  <c:v>855.99515639478341</c:v>
                </c:pt>
                <c:pt idx="163">
                  <c:v>858.50479333748808</c:v>
                </c:pt>
                <c:pt idx="164">
                  <c:v>861.2497620342765</c:v>
                </c:pt>
                <c:pt idx="165">
                  <c:v>864.22835718258284</c:v>
                </c:pt>
                <c:pt idx="166">
                  <c:v>870.52774486073758</c:v>
                </c:pt>
                <c:pt idx="167">
                  <c:v>872.10912877344526</c:v>
                </c:pt>
                <c:pt idx="168">
                  <c:v>874.47949933994096</c:v>
                </c:pt>
                <c:pt idx="169">
                  <c:v>881.84754329267889</c:v>
                </c:pt>
                <c:pt idx="170">
                  <c:v>882.75192208675435</c:v>
                </c:pt>
                <c:pt idx="171">
                  <c:v>883.1845005042851</c:v>
                </c:pt>
                <c:pt idx="172">
                  <c:v>884.48109888850013</c:v>
                </c:pt>
                <c:pt idx="173">
                  <c:v>891.81503678992158</c:v>
                </c:pt>
                <c:pt idx="174">
                  <c:v>897.48573625547579</c:v>
                </c:pt>
                <c:pt idx="175">
                  <c:v>899.24276633246336</c:v>
                </c:pt>
                <c:pt idx="176">
                  <c:v>899.55540513619781</c:v>
                </c:pt>
                <c:pt idx="177">
                  <c:v>908.55485521024093</c:v>
                </c:pt>
                <c:pt idx="178">
                  <c:v>908.67195265309419</c:v>
                </c:pt>
                <c:pt idx="179">
                  <c:v>912.6748662092723</c:v>
                </c:pt>
                <c:pt idx="180">
                  <c:v>915.23679909732891</c:v>
                </c:pt>
                <c:pt idx="181">
                  <c:v>920.50959463085746</c:v>
                </c:pt>
                <c:pt idx="182">
                  <c:v>926.74020177219063</c:v>
                </c:pt>
                <c:pt idx="183">
                  <c:v>935.42814991087653</c:v>
                </c:pt>
                <c:pt idx="184">
                  <c:v>939.32192410284188</c:v>
                </c:pt>
                <c:pt idx="185">
                  <c:v>940.51620433310745</c:v>
                </c:pt>
                <c:pt idx="186">
                  <c:v>942.7495822601486</c:v>
                </c:pt>
                <c:pt idx="187">
                  <c:v>947.2521494681132</c:v>
                </c:pt>
                <c:pt idx="188">
                  <c:v>947.44484865805134</c:v>
                </c:pt>
                <c:pt idx="189">
                  <c:v>948.5601165361004</c:v>
                </c:pt>
                <c:pt idx="190">
                  <c:v>955.20738593768328</c:v>
                </c:pt>
                <c:pt idx="191">
                  <c:v>956.28286342252977</c:v>
                </c:pt>
                <c:pt idx="192">
                  <c:v>959.46893704967806</c:v>
                </c:pt>
                <c:pt idx="193">
                  <c:v>961.65570337325335</c:v>
                </c:pt>
                <c:pt idx="194">
                  <c:v>966.25774656422436</c:v>
                </c:pt>
                <c:pt idx="195">
                  <c:v>973.84463767957641</c:v>
                </c:pt>
                <c:pt idx="196">
                  <c:v>975.56813013943611</c:v>
                </c:pt>
                <c:pt idx="197">
                  <c:v>979.81831256765872</c:v>
                </c:pt>
                <c:pt idx="198">
                  <c:v>983.1862851351616</c:v>
                </c:pt>
                <c:pt idx="199">
                  <c:v>984.67899331444642</c:v>
                </c:pt>
                <c:pt idx="200">
                  <c:v>985.63566805387381</c:v>
                </c:pt>
                <c:pt idx="201">
                  <c:v>991.79522092163097</c:v>
                </c:pt>
                <c:pt idx="202">
                  <c:v>992.2545157460263</c:v>
                </c:pt>
                <c:pt idx="203">
                  <c:v>997.15043941250769</c:v>
                </c:pt>
                <c:pt idx="204">
                  <c:v>997.38008682470536</c:v>
                </c:pt>
                <c:pt idx="205">
                  <c:v>997.83881321491208</c:v>
                </c:pt>
                <c:pt idx="206">
                  <c:v>1010.1175601230352</c:v>
                </c:pt>
                <c:pt idx="207">
                  <c:v>1012.1838183986256</c:v>
                </c:pt>
                <c:pt idx="208">
                  <c:v>1014.5939793583238</c:v>
                </c:pt>
                <c:pt idx="209">
                  <c:v>1016.3925051310798</c:v>
                </c:pt>
                <c:pt idx="210">
                  <c:v>1019.4165750144748</c:v>
                </c:pt>
                <c:pt idx="211">
                  <c:v>1022.7470309255295</c:v>
                </c:pt>
                <c:pt idx="212">
                  <c:v>1027.3428213404259</c:v>
                </c:pt>
                <c:pt idx="213">
                  <c:v>1028.2619794234051</c:v>
                </c:pt>
                <c:pt idx="214">
                  <c:v>1028.376803129504</c:v>
                </c:pt>
                <c:pt idx="215">
                  <c:v>1030.5612957163248</c:v>
                </c:pt>
                <c:pt idx="216">
                  <c:v>1031.0205905407201</c:v>
                </c:pt>
                <c:pt idx="217">
                  <c:v>1031.9789705827134</c:v>
                </c:pt>
                <c:pt idx="218">
                  <c:v>1033.512606023578</c:v>
                </c:pt>
                <c:pt idx="219">
                  <c:v>1042.2198809246765</c:v>
                </c:pt>
                <c:pt idx="220">
                  <c:v>1043.2947899753344</c:v>
                </c:pt>
                <c:pt idx="221">
                  <c:v>1044.0627445641439</c:v>
                </c:pt>
                <c:pt idx="222">
                  <c:v>1048.4419615531806</c:v>
                </c:pt>
                <c:pt idx="223">
                  <c:v>1049.1337459607166</c:v>
                </c:pt>
                <c:pt idx="224">
                  <c:v>1050.1330532642896</c:v>
                </c:pt>
                <c:pt idx="225">
                  <c:v>1051.6325826538377</c:v>
                </c:pt>
                <c:pt idx="226">
                  <c:v>1051.7866283189505</c:v>
                </c:pt>
                <c:pt idx="227">
                  <c:v>1052.7091970070614</c:v>
                </c:pt>
                <c:pt idx="228">
                  <c:v>1053.9017719347612</c:v>
                </c:pt>
                <c:pt idx="229">
                  <c:v>1056.4034507988254</c:v>
                </c:pt>
                <c:pt idx="230">
                  <c:v>1056.6342350794002</c:v>
                </c:pt>
                <c:pt idx="231">
                  <c:v>1059.9072791374056</c:v>
                </c:pt>
                <c:pt idx="232">
                  <c:v>1063.0677732260665</c:v>
                </c:pt>
                <c:pt idx="233">
                  <c:v>1068.7782630848233</c:v>
                </c:pt>
                <c:pt idx="234">
                  <c:v>1073.3757588022854</c:v>
                </c:pt>
                <c:pt idx="235">
                  <c:v>1078.2125653131516</c:v>
                </c:pt>
                <c:pt idx="236">
                  <c:v>1084.2589997773757</c:v>
                </c:pt>
                <c:pt idx="237">
                  <c:v>1091.9897047424456</c:v>
                </c:pt>
                <c:pt idx="238">
                  <c:v>1094.4021394388983</c:v>
                </c:pt>
                <c:pt idx="239">
                  <c:v>1097.9872538664495</c:v>
                </c:pt>
                <c:pt idx="240">
                  <c:v>1099.2349669104442</c:v>
                </c:pt>
                <c:pt idx="241">
                  <c:v>1109.0461410058197</c:v>
                </c:pt>
                <c:pt idx="242">
                  <c:v>1111.633084998175</c:v>
                </c:pt>
                <c:pt idx="243">
                  <c:v>1112.1821924243704</c:v>
                </c:pt>
                <c:pt idx="244">
                  <c:v>1112.9274096456356</c:v>
                </c:pt>
                <c:pt idx="245">
                  <c:v>1116.4619334304007</c:v>
                </c:pt>
                <c:pt idx="246">
                  <c:v>1117.3265218312736</c:v>
                </c:pt>
                <c:pt idx="247">
                  <c:v>1119.0966258945991</c:v>
                </c:pt>
                <c:pt idx="248">
                  <c:v>1121.4198164234404</c:v>
                </c:pt>
                <c:pt idx="249">
                  <c:v>1126.4680804524687</c:v>
                </c:pt>
                <c:pt idx="250">
                  <c:v>1130.9757635681308</c:v>
                </c:pt>
                <c:pt idx="251">
                  <c:v>1133.2330157310935</c:v>
                </c:pt>
                <c:pt idx="252">
                  <c:v>1133.2330157310935</c:v>
                </c:pt>
                <c:pt idx="253">
                  <c:v>1133.6695731879445</c:v>
                </c:pt>
                <c:pt idx="254">
                  <c:v>1159.143382916227</c:v>
                </c:pt>
                <c:pt idx="255">
                  <c:v>1159.5458343217615</c:v>
                </c:pt>
                <c:pt idx="256">
                  <c:v>1163.4953150642104</c:v>
                </c:pt>
                <c:pt idx="257">
                  <c:v>1164.3428504394251</c:v>
                </c:pt>
                <c:pt idx="258">
                  <c:v>1171.4653308226843</c:v>
                </c:pt>
                <c:pt idx="259">
                  <c:v>1174.9987177390722</c:v>
                </c:pt>
                <c:pt idx="260">
                  <c:v>1175.3244305291446</c:v>
                </c:pt>
                <c:pt idx="261">
                  <c:v>1178.5411996024777</c:v>
                </c:pt>
                <c:pt idx="262">
                  <c:v>1185.3663889050949</c:v>
                </c:pt>
                <c:pt idx="263">
                  <c:v>1193.2556870087865</c:v>
                </c:pt>
                <c:pt idx="264">
                  <c:v>1195.8551365532912</c:v>
                </c:pt>
                <c:pt idx="265">
                  <c:v>1199.8671450564871</c:v>
                </c:pt>
                <c:pt idx="266">
                  <c:v>1205.0984448942472</c:v>
                </c:pt>
                <c:pt idx="267">
                  <c:v>1208.4732386720134</c:v>
                </c:pt>
                <c:pt idx="268">
                  <c:v>1210.6031615767279</c:v>
                </c:pt>
                <c:pt idx="269">
                  <c:v>1212.1089437423507</c:v>
                </c:pt>
                <c:pt idx="270">
                  <c:v>1216.0913936677389</c:v>
                </c:pt>
                <c:pt idx="271">
                  <c:v>1216.4273382732063</c:v>
                </c:pt>
                <c:pt idx="272">
                  <c:v>1220.0454218836967</c:v>
                </c:pt>
                <c:pt idx="273">
                  <c:v>1224.7747943329159</c:v>
                </c:pt>
                <c:pt idx="274">
                  <c:v>1226.2993348267628</c:v>
                </c:pt>
                <c:pt idx="275">
                  <c:v>1236.1753104196396</c:v>
                </c:pt>
                <c:pt idx="276">
                  <c:v>1240.5027998975129</c:v>
                </c:pt>
                <c:pt idx="277">
                  <c:v>1241.662974076462</c:v>
                </c:pt>
                <c:pt idx="278">
                  <c:v>1243.9867330394918</c:v>
                </c:pt>
                <c:pt idx="279">
                  <c:v>1244.9780822644243</c:v>
                </c:pt>
                <c:pt idx="280">
                  <c:v>1248.910509981215</c:v>
                </c:pt>
                <c:pt idx="281">
                  <c:v>1250.1667495380389</c:v>
                </c:pt>
                <c:pt idx="282">
                  <c:v>1260.8885552035645</c:v>
                </c:pt>
                <c:pt idx="283">
                  <c:v>1271.2886271183379</c:v>
                </c:pt>
                <c:pt idx="284">
                  <c:v>1277.9160013233195</c:v>
                </c:pt>
                <c:pt idx="285">
                  <c:v>1278.2280716928653</c:v>
                </c:pt>
                <c:pt idx="286">
                  <c:v>1280.4188170557609</c:v>
                </c:pt>
                <c:pt idx="287">
                  <c:v>1282.1218458848307</c:v>
                </c:pt>
                <c:pt idx="288">
                  <c:v>1285.447185888188</c:v>
                </c:pt>
                <c:pt idx="289">
                  <c:v>1285.8075731637655</c:v>
                </c:pt>
                <c:pt idx="290">
                  <c:v>1289.5080797316041</c:v>
                </c:pt>
                <c:pt idx="291">
                  <c:v>1292.4531372627825</c:v>
                </c:pt>
                <c:pt idx="292">
                  <c:v>1294.3613708339399</c:v>
                </c:pt>
                <c:pt idx="293">
                  <c:v>1300.8449311892036</c:v>
                </c:pt>
                <c:pt idx="294">
                  <c:v>1301.3497007486876</c:v>
                </c:pt>
                <c:pt idx="295">
                  <c:v>1309.7864009760087</c:v>
                </c:pt>
                <c:pt idx="296">
                  <c:v>1310.2036316704471</c:v>
                </c:pt>
                <c:pt idx="297">
                  <c:v>1314.5271421090001</c:v>
                </c:pt>
                <c:pt idx="298">
                  <c:v>1315.9271955155418</c:v>
                </c:pt>
                <c:pt idx="299">
                  <c:v>1317.51653750689</c:v>
                </c:pt>
                <c:pt idx="300">
                  <c:v>1318.8745267834747</c:v>
                </c:pt>
                <c:pt idx="301">
                  <c:v>1328.5913408035412</c:v>
                </c:pt>
                <c:pt idx="302">
                  <c:v>1332.3987129988382</c:v>
                </c:pt>
                <c:pt idx="303">
                  <c:v>1346.85058381001</c:v>
                </c:pt>
                <c:pt idx="304">
                  <c:v>1350.6067969283322</c:v>
                </c:pt>
                <c:pt idx="305">
                  <c:v>1352.1745384205133</c:v>
                </c:pt>
                <c:pt idx="306">
                  <c:v>1353.1056336214533</c:v>
                </c:pt>
                <c:pt idx="307">
                  <c:v>1356.3525297067827</c:v>
                </c:pt>
                <c:pt idx="308">
                  <c:v>1357.9816620913334</c:v>
                </c:pt>
                <c:pt idx="309">
                  <c:v>1358.0316842999309</c:v>
                </c:pt>
                <c:pt idx="310">
                  <c:v>1359.515297532198</c:v>
                </c:pt>
                <c:pt idx="311">
                  <c:v>1361.9470589910634</c:v>
                </c:pt>
                <c:pt idx="312">
                  <c:v>1363.8388079707511</c:v>
                </c:pt>
                <c:pt idx="313">
                  <c:v>1364.4868229457643</c:v>
                </c:pt>
                <c:pt idx="314">
                  <c:v>1376.2625055969693</c:v>
                </c:pt>
                <c:pt idx="315">
                  <c:v>1380.7451776083326</c:v>
                </c:pt>
                <c:pt idx="316">
                  <c:v>1384.8469987133285</c:v>
                </c:pt>
                <c:pt idx="317">
                  <c:v>1389.5968347933376</c:v>
                </c:pt>
                <c:pt idx="318">
                  <c:v>1390.4267487087054</c:v>
                </c:pt>
                <c:pt idx="319">
                  <c:v>1395.8450633945176</c:v>
                </c:pt>
                <c:pt idx="320">
                  <c:v>1397.6265361416154</c:v>
                </c:pt>
                <c:pt idx="321">
                  <c:v>1398.8873231719481</c:v>
                </c:pt>
                <c:pt idx="322">
                  <c:v>1400.6255949207116</c:v>
                </c:pt>
                <c:pt idx="323">
                  <c:v>1403.8497536384966</c:v>
                </c:pt>
                <c:pt idx="324">
                  <c:v>1405.282207793789</c:v>
                </c:pt>
                <c:pt idx="325">
                  <c:v>1412.2819063923089</c:v>
                </c:pt>
                <c:pt idx="326">
                  <c:v>1420.5048753647134</c:v>
                </c:pt>
                <c:pt idx="327">
                  <c:v>1435.1778670752537</c:v>
                </c:pt>
                <c:pt idx="328">
                  <c:v>1446.0628133529099</c:v>
                </c:pt>
                <c:pt idx="329">
                  <c:v>1459.8416580847697</c:v>
                </c:pt>
                <c:pt idx="330">
                  <c:v>1463.2977379515069</c:v>
                </c:pt>
                <c:pt idx="331">
                  <c:v>1466.6571840061806</c:v>
                </c:pt>
                <c:pt idx="332">
                  <c:v>1467.5450782087864</c:v>
                </c:pt>
                <c:pt idx="333">
                  <c:v>1469.383394374745</c:v>
                </c:pt>
                <c:pt idx="334">
                  <c:v>1472.1846380562056</c:v>
                </c:pt>
                <c:pt idx="335">
                  <c:v>1478.5556484421249</c:v>
                </c:pt>
                <c:pt idx="336">
                  <c:v>1479.7061592398677</c:v>
                </c:pt>
                <c:pt idx="337">
                  <c:v>1484.3320766667603</c:v>
                </c:pt>
                <c:pt idx="338">
                  <c:v>1488.6305760010146</c:v>
                </c:pt>
                <c:pt idx="339">
                  <c:v>1490.3597528027603</c:v>
                </c:pt>
                <c:pt idx="340">
                  <c:v>1500.3573733119993</c:v>
                </c:pt>
                <c:pt idx="341">
                  <c:v>1509.528490511002</c:v>
                </c:pt>
                <c:pt idx="342">
                  <c:v>1513.8554115546867</c:v>
                </c:pt>
                <c:pt idx="343">
                  <c:v>1514.114617544692</c:v>
                </c:pt>
                <c:pt idx="344">
                  <c:v>1528.9416549203452</c:v>
                </c:pt>
                <c:pt idx="345">
                  <c:v>1531.6940132615855</c:v>
                </c:pt>
                <c:pt idx="346">
                  <c:v>1531.828163730097</c:v>
                </c:pt>
                <c:pt idx="347">
                  <c:v>1534.5975750969956</c:v>
                </c:pt>
                <c:pt idx="348">
                  <c:v>1545.9116891870508</c:v>
                </c:pt>
                <c:pt idx="349">
                  <c:v>1556.4459115703357</c:v>
                </c:pt>
                <c:pt idx="350">
                  <c:v>1557.5839168159291</c:v>
                </c:pt>
                <c:pt idx="351">
                  <c:v>1571.1081030312926</c:v>
                </c:pt>
                <c:pt idx="352">
                  <c:v>1580.0859526061686</c:v>
                </c:pt>
                <c:pt idx="353">
                  <c:v>1585.9737939317711</c:v>
                </c:pt>
                <c:pt idx="354">
                  <c:v>1590.1745225855848</c:v>
                </c:pt>
                <c:pt idx="355">
                  <c:v>1601.2976427882677</c:v>
                </c:pt>
                <c:pt idx="356">
                  <c:v>1606.1350177333225</c:v>
                </c:pt>
                <c:pt idx="357">
                  <c:v>1611.0280992288608</c:v>
                </c:pt>
                <c:pt idx="358">
                  <c:v>1632.9173629637808</c:v>
                </c:pt>
                <c:pt idx="359">
                  <c:v>1657.995542496792</c:v>
                </c:pt>
                <c:pt idx="360">
                  <c:v>1690.561137162149</c:v>
                </c:pt>
                <c:pt idx="361">
                  <c:v>1695.7611731195357</c:v>
                </c:pt>
                <c:pt idx="362">
                  <c:v>1698.1861133681377</c:v>
                </c:pt>
                <c:pt idx="363">
                  <c:v>1708.5782272042707</c:v>
                </c:pt>
                <c:pt idx="364">
                  <c:v>1711.1975719453767</c:v>
                </c:pt>
                <c:pt idx="365">
                  <c:v>1715.7495929277502</c:v>
                </c:pt>
                <c:pt idx="366">
                  <c:v>1717.4594429670833</c:v>
                </c:pt>
                <c:pt idx="367">
                  <c:v>1723.5075827338733</c:v>
                </c:pt>
                <c:pt idx="368">
                  <c:v>1743.8211468979716</c:v>
                </c:pt>
                <c:pt idx="369">
                  <c:v>1746.9589036190882</c:v>
                </c:pt>
                <c:pt idx="370">
                  <c:v>1765.8150025235955</c:v>
                </c:pt>
                <c:pt idx="371">
                  <c:v>1781.1263458279427</c:v>
                </c:pt>
                <c:pt idx="372">
                  <c:v>1786.7470230848994</c:v>
                </c:pt>
                <c:pt idx="373">
                  <c:v>1788.4682418080047</c:v>
                </c:pt>
                <c:pt idx="374">
                  <c:v>1790.8624866104219</c:v>
                </c:pt>
                <c:pt idx="375">
                  <c:v>1791.799266153248</c:v>
                </c:pt>
                <c:pt idx="376">
                  <c:v>1798.5727279447019</c:v>
                </c:pt>
                <c:pt idx="377">
                  <c:v>1800.4963092389517</c:v>
                </c:pt>
                <c:pt idx="378">
                  <c:v>1811.7194738588296</c:v>
                </c:pt>
                <c:pt idx="379">
                  <c:v>1811.7194738588296</c:v>
                </c:pt>
                <c:pt idx="380">
                  <c:v>1813.7271834129933</c:v>
                </c:pt>
                <c:pt idx="381">
                  <c:v>1835.0161806447431</c:v>
                </c:pt>
                <c:pt idx="382">
                  <c:v>1851.9987204635981</c:v>
                </c:pt>
                <c:pt idx="383">
                  <c:v>1853.4721018804703</c:v>
                </c:pt>
                <c:pt idx="384">
                  <c:v>1856.4438758185133</c:v>
                </c:pt>
                <c:pt idx="385">
                  <c:v>1882.4576980259735</c:v>
                </c:pt>
                <c:pt idx="386">
                  <c:v>1904.3492354976479</c:v>
                </c:pt>
                <c:pt idx="387">
                  <c:v>1923.0325304088183</c:v>
                </c:pt>
                <c:pt idx="388">
                  <c:v>1923.4554454451427</c:v>
                </c:pt>
                <c:pt idx="389">
                  <c:v>2041.5988072054461</c:v>
                </c:pt>
                <c:pt idx="390">
                  <c:v>2051.8670023884624</c:v>
                </c:pt>
                <c:pt idx="391">
                  <c:v>2057.8878573141992</c:v>
                </c:pt>
                <c:pt idx="392">
                  <c:v>2075.3774404292926</c:v>
                </c:pt>
                <c:pt idx="393">
                  <c:v>2095.9774954244494</c:v>
                </c:pt>
                <c:pt idx="394">
                  <c:v>2114.4675227114931</c:v>
                </c:pt>
                <c:pt idx="395">
                  <c:v>2123.3532859478146</c:v>
                </c:pt>
                <c:pt idx="396">
                  <c:v>2132.611942011863</c:v>
                </c:pt>
                <c:pt idx="397">
                  <c:v>2202.4793250020593</c:v>
                </c:pt>
                <c:pt idx="398">
                  <c:v>2339.4674169830978</c:v>
                </c:pt>
                <c:pt idx="399">
                  <c:v>2411.390257999301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012864"/>
        <c:axId val="368010512"/>
      </c:scatterChart>
      <c:valAx>
        <c:axId val="36801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10512"/>
        <c:crosses val="autoZero"/>
        <c:crossBetween val="midCat"/>
      </c:valAx>
      <c:valAx>
        <c:axId val="3680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01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116644</xdr:colOff>
      <xdr:row>0</xdr:row>
      <xdr:rowOff>140090</xdr:rowOff>
    </xdr:from>
    <xdr:to>
      <xdr:col>25</xdr:col>
      <xdr:colOff>421444</xdr:colOff>
      <xdr:row>15</xdr:row>
      <xdr:rowOff>140090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213360</xdr:colOff>
      <xdr:row>1</xdr:row>
      <xdr:rowOff>38100</xdr:rowOff>
    </xdr:from>
    <xdr:to>
      <xdr:col>25</xdr:col>
      <xdr:colOff>518160</xdr:colOff>
      <xdr:row>16</xdr:row>
      <xdr:rowOff>38100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137160</xdr:colOff>
      <xdr:row>0</xdr:row>
      <xdr:rowOff>131885</xdr:rowOff>
    </xdr:from>
    <xdr:to>
      <xdr:col>27</xdr:col>
      <xdr:colOff>381000</xdr:colOff>
      <xdr:row>19</xdr:row>
      <xdr:rowOff>9964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464820</xdr:colOff>
          <xdr:row>4</xdr:row>
          <xdr:rowOff>160020</xdr:rowOff>
        </xdr:from>
        <xdr:to>
          <xdr:col>13</xdr:col>
          <xdr:colOff>594360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Вычеслить кредит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472440</xdr:colOff>
          <xdr:row>7</xdr:row>
          <xdr:rowOff>144780</xdr:rowOff>
        </xdr:from>
        <xdr:to>
          <xdr:col>13</xdr:col>
          <xdr:colOff>586740</xdr:colOff>
          <xdr:row>9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Вычеслить доход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6"/>
  <sheetViews>
    <sheetView zoomScale="85" zoomScaleNormal="85" workbookViewId="0">
      <selection activeCell="T20" sqref="T20"/>
    </sheetView>
  </sheetViews>
  <sheetFormatPr defaultRowHeight="14.4" x14ac:dyDescent="0.3"/>
  <cols>
    <col min="7" max="7" width="11" bestFit="1" customWidth="1"/>
    <col min="10" max="10" width="12.6640625" bestFit="1" customWidth="1"/>
  </cols>
  <sheetData>
    <row r="1" spans="1:15" x14ac:dyDescent="0.3">
      <c r="A1" t="s">
        <v>0</v>
      </c>
    </row>
    <row r="2" spans="1:15" x14ac:dyDescent="0.3">
      <c r="A2" t="s">
        <v>1</v>
      </c>
      <c r="B2">
        <v>10000</v>
      </c>
    </row>
    <row r="3" spans="1:15" x14ac:dyDescent="0.3">
      <c r="A3" t="s">
        <v>2</v>
      </c>
      <c r="B3">
        <v>5000000</v>
      </c>
    </row>
    <row r="4" spans="1:15" x14ac:dyDescent="0.3">
      <c r="A4" t="s">
        <v>3</v>
      </c>
      <c r="B4">
        <v>1000000</v>
      </c>
      <c r="C4">
        <v>100</v>
      </c>
    </row>
    <row r="5" spans="1:15" x14ac:dyDescent="0.3">
      <c r="A5" t="s">
        <v>4</v>
      </c>
      <c r="B5">
        <v>500000</v>
      </c>
      <c r="C5">
        <v>30</v>
      </c>
    </row>
    <row r="6" spans="1:15" ht="16.2" x14ac:dyDescent="0.3">
      <c r="D6" t="s">
        <v>5</v>
      </c>
      <c r="E6" t="s">
        <v>6</v>
      </c>
      <c r="F6" t="s">
        <v>7</v>
      </c>
      <c r="G6" t="s">
        <v>8</v>
      </c>
      <c r="H6" t="s">
        <v>9</v>
      </c>
      <c r="I6" t="s">
        <v>10</v>
      </c>
    </row>
    <row r="7" spans="1:15" x14ac:dyDescent="0.3">
      <c r="B7">
        <v>10</v>
      </c>
      <c r="C7">
        <v>20</v>
      </c>
      <c r="D7">
        <f>B7*B7</f>
        <v>100</v>
      </c>
      <c r="E7">
        <f>B7*C7</f>
        <v>200</v>
      </c>
      <c r="F7">
        <f>SUM(B7:B406)</f>
        <v>39474.640518201486</v>
      </c>
      <c r="G7">
        <f>SUM(E7:E406)</f>
        <v>45313565.500630707</v>
      </c>
      <c r="H7">
        <f>SUM(D7:D406)</f>
        <v>4298152.7341662291</v>
      </c>
      <c r="I7">
        <f>SUM(C7:C406)</f>
        <v>396302.2435970162</v>
      </c>
    </row>
    <row r="8" spans="1:15" x14ac:dyDescent="0.3">
      <c r="B8">
        <v>11.487975623458624</v>
      </c>
      <c r="C8">
        <v>20</v>
      </c>
      <c r="D8">
        <f t="shared" ref="D8:D71" si="0">B8*B8</f>
        <v>131.97358392517955</v>
      </c>
      <c r="E8">
        <f t="shared" ref="E8:E71" si="1">B8*C8</f>
        <v>229.75951246917248</v>
      </c>
    </row>
    <row r="9" spans="1:15" ht="15" thickBot="1" x14ac:dyDescent="0.35">
      <c r="B9">
        <v>19.631954981014132</v>
      </c>
      <c r="C9">
        <v>20</v>
      </c>
      <c r="D9">
        <f t="shared" si="0"/>
        <v>385.4136563765656</v>
      </c>
      <c r="E9">
        <f t="shared" si="1"/>
        <v>392.63909962028265</v>
      </c>
    </row>
    <row r="10" spans="1:15" x14ac:dyDescent="0.3">
      <c r="B10">
        <v>22.415008768439293</v>
      </c>
      <c r="C10">
        <v>20</v>
      </c>
      <c r="D10">
        <f t="shared" si="0"/>
        <v>502.43261808921039</v>
      </c>
      <c r="E10">
        <f t="shared" si="1"/>
        <v>448.30017536878586</v>
      </c>
      <c r="J10" s="3" t="s">
        <v>11</v>
      </c>
      <c r="K10" s="8"/>
      <c r="L10" s="4"/>
      <c r="N10" s="3" t="s">
        <v>15</v>
      </c>
      <c r="O10" s="4"/>
    </row>
    <row r="11" spans="1:15" x14ac:dyDescent="0.3">
      <c r="B11">
        <v>26.497912383638322</v>
      </c>
      <c r="C11">
        <v>20</v>
      </c>
      <c r="D11">
        <f t="shared" si="0"/>
        <v>702.13936069097315</v>
      </c>
      <c r="E11">
        <f t="shared" si="1"/>
        <v>529.95824767276645</v>
      </c>
      <c r="J11" s="5">
        <v>4298152.7341662291</v>
      </c>
      <c r="K11" s="1">
        <v>39474.640518201486</v>
      </c>
      <c r="L11" s="1">
        <v>45313565.500630707</v>
      </c>
      <c r="N11" s="5">
        <v>45313565.500630707</v>
      </c>
      <c r="O11" s="1">
        <v>39474.640518201486</v>
      </c>
    </row>
    <row r="12" spans="1:15" ht="15" thickBot="1" x14ac:dyDescent="0.35">
      <c r="B12">
        <v>27.344833849929273</v>
      </c>
      <c r="C12">
        <v>20</v>
      </c>
      <c r="D12">
        <f t="shared" si="0"/>
        <v>747.73993828023777</v>
      </c>
      <c r="E12">
        <f t="shared" si="1"/>
        <v>546.89667699858546</v>
      </c>
      <c r="J12" s="6">
        <v>39474.640518201486</v>
      </c>
      <c r="K12" s="7">
        <v>400</v>
      </c>
      <c r="L12" s="7">
        <v>396302.2435970162</v>
      </c>
      <c r="N12" s="6">
        <v>396302.2435970162</v>
      </c>
      <c r="O12" s="7">
        <v>400</v>
      </c>
    </row>
    <row r="13" spans="1:15" ht="15" thickBot="1" x14ac:dyDescent="0.35">
      <c r="B13">
        <v>28.45696397125721</v>
      </c>
      <c r="C13">
        <v>20</v>
      </c>
      <c r="D13">
        <f t="shared" si="0"/>
        <v>809.79879846143092</v>
      </c>
      <c r="E13">
        <f t="shared" si="1"/>
        <v>569.1392794251442</v>
      </c>
    </row>
    <row r="14" spans="1:15" x14ac:dyDescent="0.3">
      <c r="B14">
        <v>30.391459201928228</v>
      </c>
      <c r="C14">
        <v>20</v>
      </c>
      <c r="D14">
        <f t="shared" si="0"/>
        <v>923.64079242246794</v>
      </c>
      <c r="E14">
        <f t="shared" si="1"/>
        <v>607.82918403856456</v>
      </c>
      <c r="I14" s="3" t="s">
        <v>12</v>
      </c>
      <c r="J14" s="4">
        <f>MDETERM(J11:K12)</f>
        <v>161013849.62525719</v>
      </c>
      <c r="N14" s="3" t="s">
        <v>16</v>
      </c>
      <c r="O14" s="4"/>
    </row>
    <row r="15" spans="1:15" x14ac:dyDescent="0.3">
      <c r="B15">
        <v>31.802631181199104</v>
      </c>
      <c r="C15">
        <v>25.399120000656694</v>
      </c>
      <c r="D15">
        <f t="shared" si="0"/>
        <v>1011.4073500473775</v>
      </c>
      <c r="E15">
        <f t="shared" si="1"/>
        <v>807.75884570790242</v>
      </c>
      <c r="I15" s="5" t="s">
        <v>13</v>
      </c>
      <c r="J15" s="1">
        <f>MDETERM(N11:O12)</f>
        <v>2481537597.7033491</v>
      </c>
      <c r="N15" s="5">
        <v>4298152.7341662291</v>
      </c>
      <c r="O15" s="1">
        <v>45313565.500630707</v>
      </c>
    </row>
    <row r="16" spans="1:15" ht="15" thickBot="1" x14ac:dyDescent="0.35">
      <c r="B16">
        <v>33.697836240753531</v>
      </c>
      <c r="C16">
        <v>27.941157692112029</v>
      </c>
      <c r="D16">
        <f t="shared" si="0"/>
        <v>1135.544167308642</v>
      </c>
      <c r="E16">
        <f t="shared" si="1"/>
        <v>941.55655628586203</v>
      </c>
      <c r="I16" s="6" t="s">
        <v>14</v>
      </c>
      <c r="J16" s="7">
        <f>MDETERM(N15:O16)</f>
        <v>-85369136862.647659</v>
      </c>
      <c r="N16" s="6">
        <v>39474.640518201486</v>
      </c>
      <c r="O16" s="7">
        <v>396302.2435970162</v>
      </c>
    </row>
    <row r="17" spans="2:11" ht="15" thickBot="1" x14ac:dyDescent="0.35">
      <c r="B17">
        <v>34.088009467814118</v>
      </c>
      <c r="C17">
        <v>46.972334326710552</v>
      </c>
      <c r="D17">
        <f t="shared" si="0"/>
        <v>1161.9923894777849</v>
      </c>
      <c r="E17">
        <f t="shared" si="1"/>
        <v>1601.1933772542393</v>
      </c>
    </row>
    <row r="18" spans="2:11" ht="15" thickBot="1" x14ac:dyDescent="0.35">
      <c r="B18">
        <v>34.317202132660896</v>
      </c>
      <c r="C18">
        <v>60.719346744008362</v>
      </c>
      <c r="D18">
        <f t="shared" si="0"/>
        <v>1177.6703622139055</v>
      </c>
      <c r="E18">
        <f t="shared" si="1"/>
        <v>2083.7180955772601</v>
      </c>
      <c r="I18" s="2" t="s">
        <v>17</v>
      </c>
      <c r="J18" s="2" t="s">
        <v>18</v>
      </c>
    </row>
    <row r="19" spans="2:11" ht="15" thickBot="1" x14ac:dyDescent="0.35">
      <c r="B19">
        <v>36.133826849982142</v>
      </c>
      <c r="C19">
        <v>76.544554554857314</v>
      </c>
      <c r="D19">
        <f t="shared" si="0"/>
        <v>1305.6534428244904</v>
      </c>
      <c r="E19">
        <f t="shared" si="1"/>
        <v>2765.8476805942259</v>
      </c>
      <c r="I19" s="2">
        <f>J15/J14</f>
        <v>15.41195122953005</v>
      </c>
      <c r="J19" s="2">
        <f>J16/J14</f>
        <v>-530.1974771818409</v>
      </c>
    </row>
    <row r="20" spans="2:11" x14ac:dyDescent="0.3">
      <c r="B20">
        <v>38.113887765211985</v>
      </c>
      <c r="C20">
        <v>78.850123623851687</v>
      </c>
      <c r="D20">
        <f t="shared" si="0"/>
        <v>1452.6684405791757</v>
      </c>
      <c r="E20">
        <f t="shared" si="1"/>
        <v>3005.2847620725734</v>
      </c>
    </row>
    <row r="21" spans="2:11" x14ac:dyDescent="0.3">
      <c r="B21">
        <v>39.404187898617238</v>
      </c>
      <c r="C21">
        <v>107.75386524619535</v>
      </c>
      <c r="D21">
        <f t="shared" si="0"/>
        <v>1552.6900239495333</v>
      </c>
      <c r="E21">
        <f t="shared" si="1"/>
        <v>4245.9535529633631</v>
      </c>
    </row>
    <row r="22" spans="2:11" x14ac:dyDescent="0.3">
      <c r="B22">
        <v>39.958343020407483</v>
      </c>
      <c r="C22">
        <v>135.65716269658878</v>
      </c>
      <c r="D22">
        <f t="shared" si="0"/>
        <v>1596.6691769365475</v>
      </c>
      <c r="E22">
        <f t="shared" si="1"/>
        <v>5420.6354402055213</v>
      </c>
    </row>
    <row r="23" spans="2:11" ht="15" thickBot="1" x14ac:dyDescent="0.35">
      <c r="B23">
        <v>41.056557872798294</v>
      </c>
      <c r="C23">
        <v>151.25044935848564</v>
      </c>
      <c r="D23">
        <f t="shared" si="0"/>
        <v>1685.6409443624357</v>
      </c>
      <c r="E23">
        <f t="shared" si="1"/>
        <v>6209.822827373413</v>
      </c>
    </row>
    <row r="24" spans="2:11" x14ac:dyDescent="0.3">
      <c r="B24">
        <v>42.403337627183646</v>
      </c>
      <c r="C24">
        <v>166.36852503870614</v>
      </c>
      <c r="D24">
        <f t="shared" si="0"/>
        <v>1798.0430419249285</v>
      </c>
      <c r="E24">
        <f t="shared" si="1"/>
        <v>7054.5807377528126</v>
      </c>
      <c r="I24" s="3" t="s">
        <v>11</v>
      </c>
      <c r="J24" s="8"/>
      <c r="K24" s="4"/>
    </row>
    <row r="25" spans="2:11" x14ac:dyDescent="0.3">
      <c r="B25">
        <v>42.403337627183646</v>
      </c>
      <c r="C25">
        <v>176.0387274553068</v>
      </c>
      <c r="D25">
        <f t="shared" si="0"/>
        <v>1798.0430419249285</v>
      </c>
      <c r="E25">
        <f t="shared" si="1"/>
        <v>7464.6295957471375</v>
      </c>
      <c r="I25" s="5">
        <v>4298152.7341662291</v>
      </c>
      <c r="J25" s="1">
        <v>39474.640518201486</v>
      </c>
      <c r="K25" s="1">
        <v>45313565.500630707</v>
      </c>
    </row>
    <row r="26" spans="2:11" ht="15" thickBot="1" x14ac:dyDescent="0.35">
      <c r="B26">
        <v>45.679974189260975</v>
      </c>
      <c r="C26">
        <v>186.56158115481958</v>
      </c>
      <c r="D26">
        <f t="shared" si="0"/>
        <v>2086.6600419315487</v>
      </c>
      <c r="E26">
        <f t="shared" si="1"/>
        <v>8522.1282118598756</v>
      </c>
      <c r="I26" s="6">
        <v>39474.640518201486</v>
      </c>
      <c r="J26" s="7">
        <v>400</v>
      </c>
      <c r="K26" s="7">
        <v>396302.2435970162</v>
      </c>
    </row>
    <row r="27" spans="2:11" x14ac:dyDescent="0.3">
      <c r="B27">
        <v>47.36563166952692</v>
      </c>
      <c r="C27">
        <v>188.28052614117041</v>
      </c>
      <c r="D27">
        <f t="shared" si="0"/>
        <v>2243.5030634532914</v>
      </c>
      <c r="E27">
        <f t="shared" si="1"/>
        <v>8918.0260517474126</v>
      </c>
    </row>
    <row r="28" spans="2:11" x14ac:dyDescent="0.3">
      <c r="B28">
        <v>49.87119862344116</v>
      </c>
      <c r="C28">
        <v>189.70615908619948</v>
      </c>
      <c r="D28">
        <f t="shared" si="0"/>
        <v>2487.1364521387195</v>
      </c>
      <c r="E28">
        <f t="shared" si="1"/>
        <v>9460.8735398779809</v>
      </c>
      <c r="I28" s="5">
        <f>I25/$I$25</f>
        <v>1</v>
      </c>
      <c r="J28" s="5">
        <f t="shared" ref="J28:K28" si="2">J25/$I$25</f>
        <v>9.1840944144249721E-3</v>
      </c>
      <c r="K28" s="5">
        <f t="shared" si="2"/>
        <v>10.542567540802105</v>
      </c>
    </row>
    <row r="29" spans="2:11" ht="15" thickBot="1" x14ac:dyDescent="0.35">
      <c r="B29">
        <v>50.05564414896071</v>
      </c>
      <c r="C29">
        <v>191.12497082096525</v>
      </c>
      <c r="D29">
        <f t="shared" si="0"/>
        <v>2505.5675111673845</v>
      </c>
      <c r="E29">
        <f t="shared" si="1"/>
        <v>9566.8835273947352</v>
      </c>
      <c r="I29" s="6">
        <f>I26-$I$26*I28</f>
        <v>0</v>
      </c>
      <c r="J29" s="6">
        <f t="shared" ref="J29:K29" si="3">J26-$I$26*J28</f>
        <v>37.461174505352062</v>
      </c>
      <c r="K29" s="6">
        <f t="shared" si="3"/>
        <v>-19861.820215006359</v>
      </c>
    </row>
    <row r="30" spans="2:11" x14ac:dyDescent="0.3">
      <c r="B30">
        <v>50.247320157359354</v>
      </c>
      <c r="C30">
        <v>198.39865469839424</v>
      </c>
      <c r="D30">
        <f t="shared" si="0"/>
        <v>2524.7931829961717</v>
      </c>
      <c r="E30">
        <f t="shared" si="1"/>
        <v>9969.000721419603</v>
      </c>
    </row>
    <row r="31" spans="2:11" x14ac:dyDescent="0.3">
      <c r="B31">
        <v>50.32876540790312</v>
      </c>
      <c r="C31">
        <v>201.97296887636185</v>
      </c>
      <c r="D31">
        <f t="shared" si="0"/>
        <v>2532.9846274837455</v>
      </c>
      <c r="E31">
        <f t="shared" si="1"/>
        <v>10165.050169316133</v>
      </c>
    </row>
    <row r="32" spans="2:11" x14ac:dyDescent="0.3">
      <c r="B32">
        <v>50.924393488094211</v>
      </c>
      <c r="C32">
        <v>213.12110018334351</v>
      </c>
      <c r="D32">
        <f t="shared" si="0"/>
        <v>2593.2938521302522</v>
      </c>
      <c r="E32">
        <f t="shared" si="1"/>
        <v>10853.062766352132</v>
      </c>
      <c r="I32">
        <v>1</v>
      </c>
      <c r="J32">
        <v>9.1840944144249721E-3</v>
      </c>
      <c r="K32">
        <v>10.542567540802105</v>
      </c>
    </row>
    <row r="33" spans="2:11" x14ac:dyDescent="0.3">
      <c r="B33">
        <v>50.994242681190372</v>
      </c>
      <c r="C33">
        <v>217.18426776351407</v>
      </c>
      <c r="D33">
        <f t="shared" si="0"/>
        <v>2600.4127866281378</v>
      </c>
      <c r="E33">
        <f t="shared" si="1"/>
        <v>11075.147256869268</v>
      </c>
      <c r="I33">
        <v>0</v>
      </c>
      <c r="J33">
        <f>J29/$J$29</f>
        <v>1</v>
      </c>
      <c r="K33">
        <f>K29/$J$29</f>
        <v>-530.1974771818409</v>
      </c>
    </row>
    <row r="34" spans="2:11" x14ac:dyDescent="0.3">
      <c r="B34">
        <v>51.33966876892373</v>
      </c>
      <c r="C34">
        <v>224.90815151832066</v>
      </c>
      <c r="D34">
        <f t="shared" si="0"/>
        <v>2635.7615893028028</v>
      </c>
      <c r="E34">
        <f t="shared" si="1"/>
        <v>11546.710002381493</v>
      </c>
    </row>
    <row r="35" spans="2:11" x14ac:dyDescent="0.3">
      <c r="B35">
        <v>51.687004795530811</v>
      </c>
      <c r="C35">
        <v>239.70108284265734</v>
      </c>
      <c r="D35">
        <f t="shared" si="0"/>
        <v>2671.5464647332251</v>
      </c>
      <c r="E35">
        <f t="shared" si="1"/>
        <v>12389.431018382358</v>
      </c>
    </row>
    <row r="36" spans="2:11" x14ac:dyDescent="0.3">
      <c r="B36">
        <v>52.483995002694428</v>
      </c>
      <c r="C36">
        <v>259.1710906708613</v>
      </c>
      <c r="D36">
        <f t="shared" si="0"/>
        <v>2754.5697314428535</v>
      </c>
      <c r="E36">
        <f t="shared" si="1"/>
        <v>13602.334227612349</v>
      </c>
    </row>
    <row r="37" spans="2:11" x14ac:dyDescent="0.3">
      <c r="B37">
        <v>52.532152747153305</v>
      </c>
      <c r="C37">
        <v>269.00159152864944</v>
      </c>
      <c r="D37">
        <f t="shared" si="0"/>
        <v>2759.6270722502463</v>
      </c>
      <c r="E37">
        <f t="shared" si="1"/>
        <v>14131.232695410354</v>
      </c>
    </row>
    <row r="38" spans="2:11" x14ac:dyDescent="0.3">
      <c r="B38">
        <v>52.929147184477188</v>
      </c>
      <c r="C38">
        <v>271.2218954693526</v>
      </c>
      <c r="D38">
        <f t="shared" si="0"/>
        <v>2801.4946216760495</v>
      </c>
      <c r="E38">
        <f t="shared" si="1"/>
        <v>14355.543624950251</v>
      </c>
    </row>
    <row r="39" spans="2:11" x14ac:dyDescent="0.3">
      <c r="B39">
        <v>53.070073388516903</v>
      </c>
      <c r="C39">
        <v>281.79022390395403</v>
      </c>
      <c r="D39">
        <f t="shared" si="0"/>
        <v>2816.4326894625701</v>
      </c>
      <c r="E39">
        <f t="shared" si="1"/>
        <v>14954.62786274945</v>
      </c>
    </row>
    <row r="40" spans="2:11" x14ac:dyDescent="0.3">
      <c r="B40">
        <v>53.147971609723754</v>
      </c>
      <c r="C40">
        <v>283.18402453442104</v>
      </c>
      <c r="D40">
        <f t="shared" si="0"/>
        <v>2824.7068862280021</v>
      </c>
      <c r="E40">
        <f t="shared" si="1"/>
        <v>15050.656496282725</v>
      </c>
    </row>
    <row r="41" spans="2:11" x14ac:dyDescent="0.3">
      <c r="B41">
        <v>53.7145413341932</v>
      </c>
      <c r="C41">
        <v>289.43339000397827</v>
      </c>
      <c r="D41">
        <f t="shared" si="0"/>
        <v>2885.2519507427496</v>
      </c>
      <c r="E41">
        <f t="shared" si="1"/>
        <v>15546.781790864352</v>
      </c>
    </row>
    <row r="42" spans="2:11" x14ac:dyDescent="0.3">
      <c r="B42">
        <v>54.15464582038112</v>
      </c>
      <c r="C42">
        <v>302.62447378481738</v>
      </c>
      <c r="D42">
        <f t="shared" si="0"/>
        <v>2932.7256639309221</v>
      </c>
      <c r="E42">
        <f t="shared" si="1"/>
        <v>16388.521194395995</v>
      </c>
    </row>
    <row r="43" spans="2:11" x14ac:dyDescent="0.3">
      <c r="B43">
        <v>54.614122543716803</v>
      </c>
      <c r="C43">
        <v>304.44118945160881</v>
      </c>
      <c r="D43">
        <f t="shared" si="0"/>
        <v>2982.702381220116</v>
      </c>
      <c r="E43">
        <f t="shared" si="1"/>
        <v>16626.788428065065</v>
      </c>
    </row>
    <row r="44" spans="2:11" x14ac:dyDescent="0.3">
      <c r="B44">
        <v>55.653265715227462</v>
      </c>
      <c r="C44">
        <v>306.2488101713825</v>
      </c>
      <c r="D44">
        <f t="shared" si="0"/>
        <v>3097.2859847697123</v>
      </c>
      <c r="E44">
        <f t="shared" si="1"/>
        <v>17043.746407440205</v>
      </c>
    </row>
    <row r="45" spans="2:11" x14ac:dyDescent="0.3">
      <c r="B45">
        <v>56.160081637790427</v>
      </c>
      <c r="C45">
        <v>307.1492099261377</v>
      </c>
      <c r="D45">
        <f t="shared" si="0"/>
        <v>3153.9547695632855</v>
      </c>
      <c r="E45">
        <f t="shared" si="1"/>
        <v>17249.524704434723</v>
      </c>
    </row>
    <row r="46" spans="2:11" x14ac:dyDescent="0.3">
      <c r="B46">
        <v>56.868805384146981</v>
      </c>
      <c r="C46">
        <v>314.07501208013855</v>
      </c>
      <c r="D46">
        <f t="shared" si="0"/>
        <v>3234.0610258199845</v>
      </c>
      <c r="E46">
        <f t="shared" si="1"/>
        <v>17861.07073800901</v>
      </c>
    </row>
    <row r="47" spans="2:11" x14ac:dyDescent="0.3">
      <c r="B47">
        <v>57.85788087232504</v>
      </c>
      <c r="C47">
        <v>344.63176032295399</v>
      </c>
      <c r="D47">
        <f t="shared" si="0"/>
        <v>3347.5343790361558</v>
      </c>
      <c r="E47">
        <f t="shared" si="1"/>
        <v>19939.663333585147</v>
      </c>
    </row>
    <row r="48" spans="2:11" x14ac:dyDescent="0.3">
      <c r="B48">
        <v>58.23618519352749</v>
      </c>
      <c r="C48">
        <v>351.07894089014735</v>
      </c>
      <c r="D48">
        <f t="shared" si="0"/>
        <v>3391.4532658948306</v>
      </c>
      <c r="E48">
        <f t="shared" si="1"/>
        <v>20445.498219226112</v>
      </c>
    </row>
    <row r="49" spans="2:5" x14ac:dyDescent="0.3">
      <c r="B49">
        <v>58.87383192894049</v>
      </c>
      <c r="C49">
        <v>368.95392238511704</v>
      </c>
      <c r="D49">
        <f t="shared" si="0"/>
        <v>3466.1280859971325</v>
      </c>
      <c r="E49">
        <f t="shared" si="1"/>
        <v>21721.731216024735</v>
      </c>
    </row>
    <row r="50" spans="2:5" x14ac:dyDescent="0.3">
      <c r="B50">
        <v>59.304250296554528</v>
      </c>
      <c r="C50">
        <v>369.88615445443429</v>
      </c>
      <c r="D50">
        <f t="shared" si="0"/>
        <v>3516.9941032363877</v>
      </c>
      <c r="E50">
        <f t="shared" si="1"/>
        <v>21935.821084995798</v>
      </c>
    </row>
    <row r="51" spans="2:5" x14ac:dyDescent="0.3">
      <c r="B51">
        <v>59.338765620486811</v>
      </c>
      <c r="C51">
        <v>371.57440399460029</v>
      </c>
      <c r="D51">
        <f t="shared" si="0"/>
        <v>3521.0891053630676</v>
      </c>
      <c r="E51">
        <f t="shared" si="1"/>
        <v>22048.766469207665</v>
      </c>
    </row>
    <row r="52" spans="2:5" x14ac:dyDescent="0.3">
      <c r="B52">
        <v>60.018294586916454</v>
      </c>
      <c r="C52">
        <v>373.25583232450299</v>
      </c>
      <c r="D52">
        <f t="shared" si="0"/>
        <v>3602.1956851218852</v>
      </c>
      <c r="E52">
        <f t="shared" si="1"/>
        <v>22402.178500736714</v>
      </c>
    </row>
    <row r="53" spans="2:5" x14ac:dyDescent="0.3">
      <c r="B53">
        <v>60.520267450192478</v>
      </c>
      <c r="C53">
        <v>381.80735625792295</v>
      </c>
      <c r="D53">
        <f t="shared" si="0"/>
        <v>3662.702772242827</v>
      </c>
      <c r="E53">
        <f t="shared" si="1"/>
        <v>23107.083315180418</v>
      </c>
    </row>
    <row r="54" spans="2:5" x14ac:dyDescent="0.3">
      <c r="B54">
        <v>60.667128107161261</v>
      </c>
      <c r="C54">
        <v>391.94708531431388</v>
      </c>
      <c r="D54">
        <f t="shared" si="0"/>
        <v>3680.5004327707161</v>
      </c>
      <c r="E54">
        <f t="shared" si="1"/>
        <v>23778.304035991943</v>
      </c>
    </row>
    <row r="55" spans="2:5" x14ac:dyDescent="0.3">
      <c r="B55">
        <v>61.213438837148715</v>
      </c>
      <c r="C55">
        <v>394.42432150826789</v>
      </c>
      <c r="D55">
        <f t="shared" si="0"/>
        <v>3747.0850942693464</v>
      </c>
      <c r="E55">
        <f t="shared" si="1"/>
        <v>24144.069080530237</v>
      </c>
    </row>
    <row r="56" spans="2:5" x14ac:dyDescent="0.3">
      <c r="B56">
        <v>61.565481498837471</v>
      </c>
      <c r="C56">
        <v>413.87386570568196</v>
      </c>
      <c r="D56">
        <f t="shared" si="0"/>
        <v>3790.3085121836989</v>
      </c>
      <c r="E56">
        <f t="shared" si="1"/>
        <v>25480.343821955506</v>
      </c>
    </row>
    <row r="57" spans="2:5" x14ac:dyDescent="0.3">
      <c r="B57">
        <v>61.948151394608431</v>
      </c>
      <c r="C57">
        <v>419.23874757776503</v>
      </c>
      <c r="D57">
        <f t="shared" si="0"/>
        <v>3837.5734612093265</v>
      </c>
      <c r="E57">
        <f t="shared" si="1"/>
        <v>25971.065405433415</v>
      </c>
    </row>
    <row r="58" spans="2:5" x14ac:dyDescent="0.3">
      <c r="B58">
        <v>62.254014462814666</v>
      </c>
      <c r="C58">
        <v>427.27413326792885</v>
      </c>
      <c r="D58">
        <f t="shared" si="0"/>
        <v>3875.5623167363378</v>
      </c>
      <c r="E58">
        <f t="shared" si="1"/>
        <v>26599.530072048245</v>
      </c>
    </row>
    <row r="59" spans="2:5" x14ac:dyDescent="0.3">
      <c r="B59">
        <v>62.675701681291685</v>
      </c>
      <c r="C59">
        <v>430.06514513399452</v>
      </c>
      <c r="D59">
        <f t="shared" si="0"/>
        <v>3928.2435812422691</v>
      </c>
      <c r="E59">
        <f t="shared" si="1"/>
        <v>26954.634739939651</v>
      </c>
    </row>
    <row r="60" spans="2:5" x14ac:dyDescent="0.3">
      <c r="B60">
        <v>62.814581522252411</v>
      </c>
      <c r="C60">
        <v>437.40249364054762</v>
      </c>
      <c r="D60">
        <f t="shared" si="0"/>
        <v>3945.6716518156941</v>
      </c>
      <c r="E60">
        <f t="shared" si="1"/>
        <v>27475.254594820672</v>
      </c>
    </row>
    <row r="61" spans="2:5" x14ac:dyDescent="0.3">
      <c r="B61">
        <v>62.913352646864951</v>
      </c>
      <c r="C61">
        <v>439.48637337598484</v>
      </c>
      <c r="D61">
        <f t="shared" si="0"/>
        <v>3958.0899412687891</v>
      </c>
      <c r="E61">
        <f t="shared" si="1"/>
        <v>27649.561191695095</v>
      </c>
    </row>
    <row r="62" spans="2:5" x14ac:dyDescent="0.3">
      <c r="B62">
        <v>63.114578349632211</v>
      </c>
      <c r="C62">
        <v>442.4877058918355</v>
      </c>
      <c r="D62">
        <f t="shared" si="0"/>
        <v>3983.450000251863</v>
      </c>
      <c r="E62">
        <f t="shared" si="1"/>
        <v>27927.424982259265</v>
      </c>
    </row>
    <row r="63" spans="2:5" x14ac:dyDescent="0.3">
      <c r="B63">
        <v>63.511982059571892</v>
      </c>
      <c r="C63">
        <v>449.62382869562134</v>
      </c>
      <c r="D63">
        <f t="shared" si="0"/>
        <v>4033.7718651353821</v>
      </c>
      <c r="E63">
        <f t="shared" si="1"/>
        <v>28556.500541672329</v>
      </c>
    </row>
    <row r="64" spans="2:5" x14ac:dyDescent="0.3">
      <c r="B64">
        <v>63.574464345583692</v>
      </c>
      <c r="C64">
        <v>454.98984743608162</v>
      </c>
      <c r="D64">
        <f t="shared" si="0"/>
        <v>4041.7125168278922</v>
      </c>
      <c r="E64">
        <f t="shared" si="1"/>
        <v>28925.735833427734</v>
      </c>
    </row>
    <row r="65" spans="2:5" x14ac:dyDescent="0.3">
      <c r="B65">
        <v>64.049493428319693</v>
      </c>
      <c r="C65">
        <v>466.95766084303614</v>
      </c>
      <c r="D65">
        <f t="shared" si="0"/>
        <v>4102.3376084243673</v>
      </c>
      <c r="E65">
        <f t="shared" si="1"/>
        <v>29908.401629469579</v>
      </c>
    </row>
    <row r="66" spans="2:5" x14ac:dyDescent="0.3">
      <c r="B66">
        <v>64.877997626899742</v>
      </c>
      <c r="C66">
        <v>471.19249554816633</v>
      </c>
      <c r="D66">
        <f t="shared" si="0"/>
        <v>4209.1545760760082</v>
      </c>
      <c r="E66">
        <f t="shared" si="1"/>
        <v>30570.025607986903</v>
      </c>
    </row>
    <row r="67" spans="2:5" x14ac:dyDescent="0.3">
      <c r="B67">
        <v>65.172401061863638</v>
      </c>
      <c r="C67">
        <v>473.3286712289555</v>
      </c>
      <c r="D67">
        <f t="shared" si="0"/>
        <v>4247.4418601684047</v>
      </c>
      <c r="E67">
        <f t="shared" si="1"/>
        <v>30847.965995412484</v>
      </c>
    </row>
    <row r="68" spans="2:5" x14ac:dyDescent="0.3">
      <c r="B68">
        <v>65.476763463811949</v>
      </c>
      <c r="C68">
        <v>474.39391689840704</v>
      </c>
      <c r="D68">
        <f t="shared" si="0"/>
        <v>4287.206553695979</v>
      </c>
      <c r="E68">
        <f t="shared" si="1"/>
        <v>31061.77828542826</v>
      </c>
    </row>
    <row r="69" spans="2:5" x14ac:dyDescent="0.3">
      <c r="B69">
        <v>66.54926235351013</v>
      </c>
      <c r="C69">
        <v>481.64941088180058</v>
      </c>
      <c r="D69">
        <f t="shared" si="0"/>
        <v>4428.8043197963207</v>
      </c>
      <c r="E69">
        <f t="shared" si="1"/>
        <v>32053.413007186544</v>
      </c>
    </row>
    <row r="70" spans="2:5" x14ac:dyDescent="0.3">
      <c r="B70">
        <v>67.646385812258814</v>
      </c>
      <c r="C70">
        <v>483.08754937897902</v>
      </c>
      <c r="D70">
        <f t="shared" si="0"/>
        <v>4576.0335134609704</v>
      </c>
      <c r="E70">
        <f t="shared" si="1"/>
        <v>32679.126746389047</v>
      </c>
    </row>
    <row r="71" spans="2:5" x14ac:dyDescent="0.3">
      <c r="B71">
        <v>67.666917655151337</v>
      </c>
      <c r="C71">
        <v>483.5434335982427</v>
      </c>
      <c r="D71">
        <f t="shared" si="0"/>
        <v>4578.8117449490319</v>
      </c>
      <c r="E71">
        <f t="shared" si="1"/>
        <v>32719.893703981426</v>
      </c>
    </row>
    <row r="72" spans="2:5" x14ac:dyDescent="0.3">
      <c r="B72">
        <v>67.793792166048661</v>
      </c>
      <c r="C72">
        <v>489.37784211011603</v>
      </c>
      <c r="D72">
        <f t="shared" ref="D72:D135" si="4">B72*B72</f>
        <v>4595.9982562534005</v>
      </c>
      <c r="E72">
        <f t="shared" ref="E72:E135" si="5">B72*C72</f>
        <v>33176.779718682585</v>
      </c>
    </row>
    <row r="73" spans="2:5" x14ac:dyDescent="0.3">
      <c r="B73">
        <v>68.804559102864005</v>
      </c>
      <c r="C73">
        <v>491.75617075525224</v>
      </c>
      <c r="D73">
        <f t="shared" si="4"/>
        <v>4734.0673533395056</v>
      </c>
      <c r="E73">
        <f t="shared" si="5"/>
        <v>33835.066514927836</v>
      </c>
    </row>
    <row r="74" spans="2:5" x14ac:dyDescent="0.3">
      <c r="B74">
        <v>68.839961184130516</v>
      </c>
      <c r="C74">
        <v>495.5874171864707</v>
      </c>
      <c r="D74">
        <f t="shared" si="4"/>
        <v>4738.9402558325964</v>
      </c>
      <c r="E74">
        <f t="shared" si="5"/>
        <v>34116.218562460141</v>
      </c>
    </row>
    <row r="75" spans="2:5" x14ac:dyDescent="0.3">
      <c r="B75">
        <v>68.839961184130516</v>
      </c>
      <c r="C75">
        <v>501.90954223216977</v>
      </c>
      <c r="D75">
        <f t="shared" si="4"/>
        <v>4738.9402558325964</v>
      </c>
      <c r="E75">
        <f t="shared" si="5"/>
        <v>34551.433405207281</v>
      </c>
    </row>
    <row r="76" spans="2:5" x14ac:dyDescent="0.3">
      <c r="B76">
        <v>69.028294799500145</v>
      </c>
      <c r="C76">
        <v>506.10117593896575</v>
      </c>
      <c r="D76">
        <f t="shared" si="4"/>
        <v>4764.9054829266988</v>
      </c>
      <c r="E76">
        <f t="shared" si="5"/>
        <v>34935.30117108862</v>
      </c>
    </row>
    <row r="77" spans="2:5" x14ac:dyDescent="0.3">
      <c r="B77">
        <v>69.075156514008995</v>
      </c>
      <c r="C77">
        <v>506.10117593896575</v>
      </c>
      <c r="D77">
        <f t="shared" si="4"/>
        <v>4771.3772474348389</v>
      </c>
      <c r="E77">
        <f t="shared" si="5"/>
        <v>34959.017939908066</v>
      </c>
    </row>
    <row r="78" spans="2:5" x14ac:dyDescent="0.3">
      <c r="B78">
        <v>69.281361700268462</v>
      </c>
      <c r="C78">
        <v>517.55967231292743</v>
      </c>
      <c r="D78">
        <f t="shared" si="4"/>
        <v>4799.9070790434262</v>
      </c>
      <c r="E78">
        <f t="shared" si="5"/>
        <v>35857.238858984347</v>
      </c>
    </row>
    <row r="79" spans="2:5" x14ac:dyDescent="0.3">
      <c r="B79">
        <v>69.547593536844943</v>
      </c>
      <c r="C79">
        <v>534.81847114744596</v>
      </c>
      <c r="D79">
        <f t="shared" si="4"/>
        <v>4836.8677667661968</v>
      </c>
      <c r="E79">
        <f t="shared" si="5"/>
        <v>37195.337647359403</v>
      </c>
    </row>
    <row r="80" spans="2:5" x14ac:dyDescent="0.3">
      <c r="B80">
        <v>69.555301504442468</v>
      </c>
      <c r="C80">
        <v>538.22793941071723</v>
      </c>
      <c r="D80">
        <f t="shared" si="4"/>
        <v>4837.9399673738963</v>
      </c>
      <c r="E80">
        <f t="shared" si="5"/>
        <v>37436.606603827233</v>
      </c>
    </row>
    <row r="81" spans="2:5" x14ac:dyDescent="0.3">
      <c r="B81">
        <v>69.719965520198457</v>
      </c>
      <c r="C81">
        <v>542.42980493290816</v>
      </c>
      <c r="D81">
        <f t="shared" si="4"/>
        <v>4860.8735921376619</v>
      </c>
      <c r="E81">
        <f t="shared" si="5"/>
        <v>37818.187297050332</v>
      </c>
    </row>
    <row r="82" spans="2:5" x14ac:dyDescent="0.3">
      <c r="B82">
        <v>69.845748637453653</v>
      </c>
      <c r="C82">
        <v>552.6832208270207</v>
      </c>
      <c r="D82">
        <f t="shared" si="4"/>
        <v>4878.4286027263588</v>
      </c>
      <c r="E82">
        <f t="shared" si="5"/>
        <v>38602.573318022376</v>
      </c>
    </row>
    <row r="83" spans="2:5" x14ac:dyDescent="0.3">
      <c r="B83">
        <v>70.050453157455195</v>
      </c>
      <c r="C83">
        <v>553.7098129716469</v>
      </c>
      <c r="D83">
        <f t="shared" si="4"/>
        <v>4907.0659875648244</v>
      </c>
      <c r="E83">
        <f t="shared" si="5"/>
        <v>38787.623316393627</v>
      </c>
    </row>
    <row r="84" spans="2:5" x14ac:dyDescent="0.3">
      <c r="B84">
        <v>70.114572533930186</v>
      </c>
      <c r="C84">
        <v>557.06016407930292</v>
      </c>
      <c r="D84">
        <f t="shared" si="4"/>
        <v>4916.0532816157574</v>
      </c>
      <c r="E84">
        <f t="shared" si="5"/>
        <v>39058.035280101336</v>
      </c>
    </row>
    <row r="85" spans="2:5" x14ac:dyDescent="0.3">
      <c r="B85">
        <v>70.354883771506138</v>
      </c>
      <c r="C85">
        <v>558.53127175942063</v>
      </c>
      <c r="D85">
        <f t="shared" si="4"/>
        <v>4949.809670502138</v>
      </c>
      <c r="E85">
        <f t="shared" si="5"/>
        <v>39295.402707385547</v>
      </c>
    </row>
    <row r="86" spans="2:5" x14ac:dyDescent="0.3">
      <c r="B86">
        <v>70.478006616758648</v>
      </c>
      <c r="C86">
        <v>558.98260850517545</v>
      </c>
      <c r="D86">
        <f t="shared" si="4"/>
        <v>4967.1494166718758</v>
      </c>
      <c r="E86">
        <f t="shared" si="5"/>
        <v>39395.979980880766</v>
      </c>
    </row>
    <row r="87" spans="2:5" x14ac:dyDescent="0.3">
      <c r="B87">
        <v>71.301190271333326</v>
      </c>
      <c r="C87">
        <v>563.2003901846474</v>
      </c>
      <c r="D87">
        <f t="shared" si="4"/>
        <v>5083.859734108878</v>
      </c>
      <c r="E87">
        <f t="shared" si="5"/>
        <v>40156.858181444717</v>
      </c>
    </row>
    <row r="88" spans="2:5" x14ac:dyDescent="0.3">
      <c r="B88">
        <v>71.679699228843674</v>
      </c>
      <c r="C88">
        <v>565.93796923698392</v>
      </c>
      <c r="D88">
        <f t="shared" si="4"/>
        <v>5137.9792815374922</v>
      </c>
      <c r="E88">
        <f t="shared" si="5"/>
        <v>40566.263417089591</v>
      </c>
    </row>
    <row r="89" spans="2:5" x14ac:dyDescent="0.3">
      <c r="B89">
        <v>71.715510582725983</v>
      </c>
      <c r="C89">
        <v>566.94068714568857</v>
      </c>
      <c r="D89">
        <f t="shared" si="4"/>
        <v>5143.1144581410827</v>
      </c>
      <c r="E89">
        <f t="shared" si="5"/>
        <v>40658.440848774568</v>
      </c>
    </row>
    <row r="90" spans="2:5" x14ac:dyDescent="0.3">
      <c r="B90">
        <v>71.754868965945207</v>
      </c>
      <c r="C90">
        <v>569.99431560689118</v>
      </c>
      <c r="D90">
        <f t="shared" si="4"/>
        <v>5148.7612203199669</v>
      </c>
      <c r="E90">
        <f t="shared" si="5"/>
        <v>40899.867427706093</v>
      </c>
    </row>
    <row r="91" spans="2:5" x14ac:dyDescent="0.3">
      <c r="B91">
        <v>71.890406413876917</v>
      </c>
      <c r="C91">
        <v>579.16770654264838</v>
      </c>
      <c r="D91">
        <f t="shared" si="4"/>
        <v>5168.2305343523958</v>
      </c>
      <c r="E91">
        <f t="shared" si="5"/>
        <v>41636.60180514399</v>
      </c>
    </row>
    <row r="92" spans="2:5" x14ac:dyDescent="0.3">
      <c r="B92">
        <v>71.92239789001178</v>
      </c>
      <c r="C92">
        <v>592.42927616287488</v>
      </c>
      <c r="D92">
        <f t="shared" si="4"/>
        <v>5172.8313182491711</v>
      </c>
      <c r="E92">
        <f t="shared" si="5"/>
        <v>42608.934121877959</v>
      </c>
    </row>
    <row r="93" spans="2:5" x14ac:dyDescent="0.3">
      <c r="B93">
        <v>72.149203131266404</v>
      </c>
      <c r="C93">
        <v>602.74067234422546</v>
      </c>
      <c r="D93">
        <f t="shared" si="4"/>
        <v>5205.5075124767418</v>
      </c>
      <c r="E93">
        <f t="shared" si="5"/>
        <v>43487.259204439608</v>
      </c>
    </row>
    <row r="94" spans="2:5" x14ac:dyDescent="0.3">
      <c r="B94">
        <v>73.321564539219253</v>
      </c>
      <c r="C94">
        <v>603.89345687872265</v>
      </c>
      <c r="D94">
        <f t="shared" si="4"/>
        <v>5376.0518264788943</v>
      </c>
      <c r="E94">
        <f t="shared" si="5"/>
        <v>44278.41307334548</v>
      </c>
    </row>
    <row r="95" spans="2:5" x14ac:dyDescent="0.3">
      <c r="B95">
        <v>73.808803588326555</v>
      </c>
      <c r="C95">
        <v>608.48299451754428</v>
      </c>
      <c r="D95">
        <f t="shared" si="4"/>
        <v>5447.7394871401666</v>
      </c>
      <c r="E95">
        <f t="shared" si="5"/>
        <v>44911.401829182207</v>
      </c>
    </row>
    <row r="96" spans="2:5" x14ac:dyDescent="0.3">
      <c r="B96">
        <v>73.83902154979296</v>
      </c>
      <c r="C96">
        <v>613.45338306273334</v>
      </c>
      <c r="D96">
        <f t="shared" si="4"/>
        <v>5452.2011034307889</v>
      </c>
      <c r="E96">
        <f t="shared" si="5"/>
        <v>45296.79757176256</v>
      </c>
    </row>
    <row r="97" spans="2:5" x14ac:dyDescent="0.3">
      <c r="B97">
        <v>73.919511830899864</v>
      </c>
      <c r="C97">
        <v>613.86492941528559</v>
      </c>
      <c r="D97">
        <f t="shared" si="4"/>
        <v>5464.0942293185453</v>
      </c>
      <c r="E97">
        <f t="shared" si="5"/>
        <v>45376.595912487712</v>
      </c>
    </row>
    <row r="98" spans="2:5" x14ac:dyDescent="0.3">
      <c r="B98">
        <v>74.727143126074225</v>
      </c>
      <c r="C98">
        <v>617.36079967522528</v>
      </c>
      <c r="D98">
        <f t="shared" si="4"/>
        <v>5584.1459197847826</v>
      </c>
      <c r="E98">
        <f t="shared" si="5"/>
        <v>46133.608837758198</v>
      </c>
    </row>
    <row r="99" spans="2:5" x14ac:dyDescent="0.3">
      <c r="B99">
        <v>74.80558704410214</v>
      </c>
      <c r="C99">
        <v>623.99101605114993</v>
      </c>
      <c r="D99">
        <f t="shared" si="4"/>
        <v>5595.8758530127416</v>
      </c>
      <c r="E99">
        <f t="shared" si="5"/>
        <v>46678.014265952028</v>
      </c>
    </row>
    <row r="100" spans="2:5" x14ac:dyDescent="0.3">
      <c r="B100">
        <v>75.69578908951371</v>
      </c>
      <c r="C100">
        <v>630.25402394123375</v>
      </c>
      <c r="D100">
        <f t="shared" si="4"/>
        <v>5729.8524858841429</v>
      </c>
      <c r="E100">
        <f t="shared" si="5"/>
        <v>47707.575669072954</v>
      </c>
    </row>
    <row r="101" spans="2:5" x14ac:dyDescent="0.3">
      <c r="B101">
        <v>75.778564476058818</v>
      </c>
      <c r="C101">
        <v>635.31365665403428</v>
      </c>
      <c r="D101">
        <f t="shared" si="4"/>
        <v>5742.3908340522039</v>
      </c>
      <c r="E101">
        <f t="shared" si="5"/>
        <v>48143.156893278428</v>
      </c>
    </row>
    <row r="102" spans="2:5" x14ac:dyDescent="0.3">
      <c r="B102">
        <v>76.098274601099547</v>
      </c>
      <c r="C102">
        <v>646.5498952602502</v>
      </c>
      <c r="D102">
        <f t="shared" si="4"/>
        <v>5790.9473972643527</v>
      </c>
      <c r="E102">
        <f t="shared" si="5"/>
        <v>49201.331472826671</v>
      </c>
    </row>
    <row r="103" spans="2:5" x14ac:dyDescent="0.3">
      <c r="B103">
        <v>76.776234689168632</v>
      </c>
      <c r="C103">
        <v>646.648802809068</v>
      </c>
      <c r="D103">
        <f t="shared" si="4"/>
        <v>5894.590213046301</v>
      </c>
      <c r="E103">
        <f t="shared" si="5"/>
        <v>49647.260245938931</v>
      </c>
    </row>
    <row r="104" spans="2:5" x14ac:dyDescent="0.3">
      <c r="B104">
        <v>76.893695929902606</v>
      </c>
      <c r="C104">
        <v>650.12648317497224</v>
      </c>
      <c r="D104">
        <f t="shared" si="4"/>
        <v>5912.6404737603207</v>
      </c>
      <c r="E104">
        <f t="shared" si="5"/>
        <v>49990.628113233259</v>
      </c>
    </row>
    <row r="105" spans="2:5" x14ac:dyDescent="0.3">
      <c r="B105">
        <v>77.237962411891203</v>
      </c>
      <c r="C105">
        <v>650.76085572945885</v>
      </c>
      <c r="D105">
        <f t="shared" si="4"/>
        <v>5965.7028375407181</v>
      </c>
      <c r="E105">
        <f t="shared" si="5"/>
        <v>50263.442513962094</v>
      </c>
    </row>
    <row r="106" spans="2:5" x14ac:dyDescent="0.3">
      <c r="B106">
        <v>77.597508404869586</v>
      </c>
      <c r="C106">
        <v>651.1513700170326</v>
      </c>
      <c r="D106">
        <f t="shared" si="4"/>
        <v>6021.3733106438058</v>
      </c>
      <c r="E106">
        <f t="shared" si="5"/>
        <v>50527.723907739033</v>
      </c>
    </row>
    <row r="107" spans="2:5" x14ac:dyDescent="0.3">
      <c r="B107">
        <v>77.974857756635174</v>
      </c>
      <c r="C107">
        <v>655.96543916035444</v>
      </c>
      <c r="D107">
        <f t="shared" si="4"/>
        <v>6080.0784421674889</v>
      </c>
      <c r="E107">
        <f t="shared" si="5"/>
        <v>51148.811811797364</v>
      </c>
    </row>
    <row r="108" spans="2:5" x14ac:dyDescent="0.3">
      <c r="B108">
        <v>78.657251631375402</v>
      </c>
      <c r="C108">
        <v>658.0947936308803</v>
      </c>
      <c r="D108">
        <f t="shared" si="4"/>
        <v>6186.9632342015084</v>
      </c>
      <c r="E108">
        <f t="shared" si="5"/>
        <v>51763.927779922218</v>
      </c>
    </row>
    <row r="109" spans="2:5" x14ac:dyDescent="0.3">
      <c r="B109">
        <v>79.077847456210293</v>
      </c>
      <c r="C109">
        <v>658.43301197310211</v>
      </c>
      <c r="D109">
        <f t="shared" si="4"/>
        <v>6253.3059583076647</v>
      </c>
      <c r="E109">
        <f t="shared" si="5"/>
        <v>52067.465280942051</v>
      </c>
    </row>
    <row r="110" spans="2:5" x14ac:dyDescent="0.3">
      <c r="B110">
        <v>79.291010276938323</v>
      </c>
      <c r="C110">
        <v>658.96449793945067</v>
      </c>
      <c r="D110">
        <f t="shared" si="4"/>
        <v>6287.064310737539</v>
      </c>
      <c r="E110">
        <f t="shared" si="5"/>
        <v>52249.960778254484</v>
      </c>
    </row>
    <row r="111" spans="2:5" x14ac:dyDescent="0.3">
      <c r="B111">
        <v>79.494384660938522</v>
      </c>
      <c r="C111">
        <v>661.22913974686526</v>
      </c>
      <c r="D111">
        <f t="shared" si="4"/>
        <v>6319.357192621258</v>
      </c>
      <c r="E111">
        <f t="shared" si="5"/>
        <v>52564.003584058781</v>
      </c>
    </row>
    <row r="112" spans="2:5" x14ac:dyDescent="0.3">
      <c r="B112">
        <v>79.757376422639936</v>
      </c>
      <c r="C112">
        <v>661.27688821870834</v>
      </c>
      <c r="D112">
        <f t="shared" si="4"/>
        <v>6361.2390938226808</v>
      </c>
      <c r="E112">
        <f t="shared" si="5"/>
        <v>52741.709693251512</v>
      </c>
    </row>
    <row r="113" spans="2:5" x14ac:dyDescent="0.3">
      <c r="B113">
        <v>79.835138219641522</v>
      </c>
      <c r="C113">
        <v>664.92509884119499</v>
      </c>
      <c r="D113">
        <f t="shared" si="4"/>
        <v>6373.6492945492664</v>
      </c>
      <c r="E113">
        <f t="shared" si="5"/>
        <v>53084.387171695606</v>
      </c>
    </row>
    <row r="114" spans="2:5" x14ac:dyDescent="0.3">
      <c r="B114">
        <v>80.233224050607532</v>
      </c>
      <c r="C114">
        <v>665.16384120041039</v>
      </c>
      <c r="D114">
        <f t="shared" si="4"/>
        <v>6437.3702415549869</v>
      </c>
      <c r="E114">
        <f t="shared" si="5"/>
        <v>53368.239501395256</v>
      </c>
    </row>
    <row r="115" spans="2:5" x14ac:dyDescent="0.3">
      <c r="B115">
        <v>80.253141984576359</v>
      </c>
      <c r="C115">
        <v>670.26838021411095</v>
      </c>
      <c r="D115">
        <f t="shared" si="4"/>
        <v>6440.5667983965732</v>
      </c>
      <c r="E115">
        <f t="shared" si="5"/>
        <v>53791.143485095061</v>
      </c>
    </row>
    <row r="116" spans="2:5" x14ac:dyDescent="0.3">
      <c r="B116">
        <v>80.384075115580345</v>
      </c>
      <c r="C116">
        <v>681.500071346818</v>
      </c>
      <c r="D116">
        <f t="shared" si="4"/>
        <v>6461.5995321872633</v>
      </c>
      <c r="E116">
        <f t="shared" si="5"/>
        <v>54781.752926415982</v>
      </c>
    </row>
    <row r="117" spans="2:5" x14ac:dyDescent="0.3">
      <c r="B117">
        <v>80.531617893575458</v>
      </c>
      <c r="C117">
        <v>683.04450703726616</v>
      </c>
      <c r="D117">
        <f t="shared" si="4"/>
        <v>6485.3414805568427</v>
      </c>
      <c r="E117">
        <f t="shared" si="5"/>
        <v>55006.679245030733</v>
      </c>
    </row>
    <row r="118" spans="2:5" x14ac:dyDescent="0.3">
      <c r="B118">
        <v>80.687175593629945</v>
      </c>
      <c r="C118">
        <v>690.58421811496373</v>
      </c>
      <c r="D118">
        <f t="shared" si="4"/>
        <v>6510.4203052772718</v>
      </c>
      <c r="E118">
        <f t="shared" si="5"/>
        <v>55721.29006923172</v>
      </c>
    </row>
    <row r="119" spans="2:5" x14ac:dyDescent="0.3">
      <c r="B119">
        <v>80.749248607025947</v>
      </c>
      <c r="C119">
        <v>692.38842822960578</v>
      </c>
      <c r="D119">
        <f t="shared" si="4"/>
        <v>6520.4411505992821</v>
      </c>
      <c r="E119">
        <f t="shared" si="5"/>
        <v>55909.845323740381</v>
      </c>
    </row>
    <row r="120" spans="2:5" x14ac:dyDescent="0.3">
      <c r="B120">
        <v>81.39890067250235</v>
      </c>
      <c r="C120">
        <v>692.98926316696452</v>
      </c>
      <c r="D120">
        <f t="shared" si="4"/>
        <v>6625.7810306919037</v>
      </c>
      <c r="E120">
        <f t="shared" si="5"/>
        <v>56408.564199638335</v>
      </c>
    </row>
    <row r="121" spans="2:5" x14ac:dyDescent="0.3">
      <c r="B121">
        <v>81.858445607940666</v>
      </c>
      <c r="C121">
        <v>696.35382512933575</v>
      </c>
      <c r="D121">
        <f t="shared" si="4"/>
        <v>6700.8051173481808</v>
      </c>
      <c r="E121">
        <f t="shared" si="5"/>
        <v>57002.441718231159</v>
      </c>
    </row>
    <row r="122" spans="2:5" x14ac:dyDescent="0.3">
      <c r="B122">
        <v>81.938253768021241</v>
      </c>
      <c r="C122">
        <v>699.38357935461681</v>
      </c>
      <c r="D122">
        <f t="shared" si="4"/>
        <v>6713.8774305526467</v>
      </c>
      <c r="E122">
        <f t="shared" si="5"/>
        <v>57306.269206345612</v>
      </c>
    </row>
    <row r="123" spans="2:5" x14ac:dyDescent="0.3">
      <c r="B123">
        <v>81.990504238638096</v>
      </c>
      <c r="C123">
        <v>710.2656834613299</v>
      </c>
      <c r="D123">
        <f t="shared" si="4"/>
        <v>6722.4427853061316</v>
      </c>
      <c r="E123">
        <f t="shared" si="5"/>
        <v>58235.041530395356</v>
      </c>
    </row>
    <row r="124" spans="2:5" x14ac:dyDescent="0.3">
      <c r="B124">
        <v>82.239955897966865</v>
      </c>
      <c r="C124">
        <v>713.47165228507947</v>
      </c>
      <c r="D124">
        <f t="shared" si="4"/>
        <v>6763.4103460995348</v>
      </c>
      <c r="E124">
        <f t="shared" si="5"/>
        <v>58675.877218374488</v>
      </c>
    </row>
    <row r="125" spans="2:5" x14ac:dyDescent="0.3">
      <c r="B125">
        <v>82.425561029231176</v>
      </c>
      <c r="C125">
        <v>714.50847624510061</v>
      </c>
      <c r="D125">
        <f t="shared" si="4"/>
        <v>6793.9731109835129</v>
      </c>
      <c r="E125">
        <f t="shared" si="5"/>
        <v>58893.762014643515</v>
      </c>
    </row>
    <row r="126" spans="2:5" x14ac:dyDescent="0.3">
      <c r="B126">
        <v>82.913686835672706</v>
      </c>
      <c r="C126">
        <v>715.31792652967852</v>
      </c>
      <c r="D126">
        <f t="shared" si="4"/>
        <v>6874.6794646840053</v>
      </c>
      <c r="E126">
        <f t="shared" si="5"/>
        <v>59309.646548224504</v>
      </c>
    </row>
    <row r="127" spans="2:5" x14ac:dyDescent="0.3">
      <c r="B127">
        <v>82.967642608855385</v>
      </c>
      <c r="C127">
        <v>717.3847532394575</v>
      </c>
      <c r="D127">
        <f t="shared" si="4"/>
        <v>6883.6297200707559</v>
      </c>
      <c r="E127">
        <f t="shared" si="5"/>
        <v>59519.721819813218</v>
      </c>
    </row>
    <row r="128" spans="2:5" x14ac:dyDescent="0.3">
      <c r="B128">
        <v>83.509519552171696</v>
      </c>
      <c r="C128">
        <v>718.14759192056954</v>
      </c>
      <c r="D128">
        <f t="shared" si="4"/>
        <v>6973.8398558345471</v>
      </c>
      <c r="E128">
        <f t="shared" si="5"/>
        <v>59972.160368835823</v>
      </c>
    </row>
    <row r="129" spans="2:5" x14ac:dyDescent="0.3">
      <c r="B129">
        <v>83.722682372899726</v>
      </c>
      <c r="C129">
        <v>726.35919220920186</v>
      </c>
      <c r="D129">
        <f t="shared" si="4"/>
        <v>7009.4875437134542</v>
      </c>
      <c r="E129">
        <f t="shared" si="5"/>
        <v>60812.739937967031</v>
      </c>
    </row>
    <row r="130" spans="2:5" x14ac:dyDescent="0.3">
      <c r="B130">
        <v>83.773159328848124</v>
      </c>
      <c r="C130">
        <v>731.10107021057047</v>
      </c>
      <c r="D130">
        <f t="shared" si="4"/>
        <v>7017.9422239365731</v>
      </c>
      <c r="E130">
        <f t="shared" si="5"/>
        <v>61246.6464402415</v>
      </c>
    </row>
    <row r="131" spans="2:5" x14ac:dyDescent="0.3">
      <c r="B131">
        <v>84.00644471985288</v>
      </c>
      <c r="C131">
        <v>732.20496940484736</v>
      </c>
      <c r="D131">
        <f t="shared" si="4"/>
        <v>7057.0827544696976</v>
      </c>
      <c r="E131">
        <f t="shared" si="5"/>
        <v>61509.936285909876</v>
      </c>
    </row>
    <row r="132" spans="2:5" x14ac:dyDescent="0.3">
      <c r="B132">
        <v>84.159649102366529</v>
      </c>
      <c r="C132">
        <v>738.01436681242194</v>
      </c>
      <c r="D132">
        <f t="shared" si="4"/>
        <v>7082.8465370334634</v>
      </c>
      <c r="E132">
        <f t="shared" si="5"/>
        <v>62111.030143438649</v>
      </c>
    </row>
    <row r="133" spans="2:5" x14ac:dyDescent="0.3">
      <c r="B133">
        <v>84.677037900837604</v>
      </c>
      <c r="C133">
        <v>738.54130530526163</v>
      </c>
      <c r="D133">
        <f t="shared" si="4"/>
        <v>7170.2007476598883</v>
      </c>
      <c r="E133">
        <f t="shared" si="5"/>
        <v>62537.490100667717</v>
      </c>
    </row>
    <row r="134" spans="2:5" x14ac:dyDescent="0.3">
      <c r="B134">
        <v>84.724104251654353</v>
      </c>
      <c r="C134">
        <v>747.18548401142471</v>
      </c>
      <c r="D134">
        <f t="shared" si="4"/>
        <v>7178.173841245195</v>
      </c>
      <c r="E134">
        <f t="shared" si="5"/>
        <v>63304.620842706761</v>
      </c>
    </row>
    <row r="135" spans="2:5" x14ac:dyDescent="0.3">
      <c r="B135">
        <v>84.872806635394227</v>
      </c>
      <c r="C135">
        <v>748.57530560257146</v>
      </c>
      <c r="D135">
        <f t="shared" si="4"/>
        <v>7203.3933061690186</v>
      </c>
      <c r="E135">
        <f t="shared" si="5"/>
        <v>63533.68716443819</v>
      </c>
    </row>
    <row r="136" spans="2:5" x14ac:dyDescent="0.3">
      <c r="B136">
        <v>84.956161824811716</v>
      </c>
      <c r="C136">
        <v>750.69954416539986</v>
      </c>
      <c r="D136">
        <f t="shared" ref="D136:D199" si="6">B136*B136</f>
        <v>7217.5494320035959</v>
      </c>
      <c r="E136">
        <f t="shared" ref="E136:E199" si="7">B136*C136</f>
        <v>63776.551955928102</v>
      </c>
    </row>
    <row r="137" spans="2:5" x14ac:dyDescent="0.3">
      <c r="B137">
        <v>85.122497037082212</v>
      </c>
      <c r="C137">
        <v>756.01326696050819</v>
      </c>
      <c r="D137">
        <f t="shared" si="6"/>
        <v>7245.8395018280698</v>
      </c>
      <c r="E137">
        <f t="shared" si="7"/>
        <v>64353.737076840705</v>
      </c>
    </row>
    <row r="138" spans="2:5" x14ac:dyDescent="0.3">
      <c r="B138">
        <v>85.132865276682423</v>
      </c>
      <c r="C138">
        <v>765.96086526114959</v>
      </c>
      <c r="D138">
        <f t="shared" si="6"/>
        <v>7247.6047502177598</v>
      </c>
      <c r="E138">
        <f t="shared" si="7"/>
        <v>65208.443149488543</v>
      </c>
    </row>
    <row r="139" spans="2:5" x14ac:dyDescent="0.3">
      <c r="B139">
        <v>85.192516760434955</v>
      </c>
      <c r="C139">
        <v>769.24186739779543</v>
      </c>
      <c r="D139">
        <f t="shared" si="6"/>
        <v>7257.7649119769903</v>
      </c>
      <c r="E139">
        <f t="shared" si="7"/>
        <v>65533.650681114974</v>
      </c>
    </row>
    <row r="140" spans="2:5" x14ac:dyDescent="0.3">
      <c r="B140">
        <v>85.53118985000765</v>
      </c>
      <c r="C140">
        <v>771.96182499028509</v>
      </c>
      <c r="D140">
        <f t="shared" si="6"/>
        <v>7315.5844371580515</v>
      </c>
      <c r="E140">
        <f t="shared" si="7"/>
        <v>66026.813410202449</v>
      </c>
    </row>
    <row r="141" spans="2:5" x14ac:dyDescent="0.3">
      <c r="B141">
        <v>85.893600751296617</v>
      </c>
      <c r="C141">
        <v>777.67629388836212</v>
      </c>
      <c r="D141">
        <f t="shared" si="6"/>
        <v>7377.710650023143</v>
      </c>
      <c r="E141">
        <f t="shared" si="7"/>
        <v>66797.417100994993</v>
      </c>
    </row>
    <row r="142" spans="2:5" x14ac:dyDescent="0.3">
      <c r="B142">
        <v>86.312627697770949</v>
      </c>
      <c r="C142">
        <v>780.71286932390649</v>
      </c>
      <c r="D142">
        <f t="shared" si="6"/>
        <v>7449.8697000940165</v>
      </c>
      <c r="E142">
        <f t="shared" si="7"/>
        <v>67385.379228812846</v>
      </c>
    </row>
    <row r="143" spans="2:5" x14ac:dyDescent="0.3">
      <c r="B143">
        <v>86.462694323563483</v>
      </c>
      <c r="C143">
        <v>783.27878125128336</v>
      </c>
      <c r="D143">
        <f t="shared" si="6"/>
        <v>7475.7975096899772</v>
      </c>
      <c r="E143">
        <f t="shared" si="7"/>
        <v>67724.393833463066</v>
      </c>
    </row>
    <row r="144" spans="2:5" x14ac:dyDescent="0.3">
      <c r="B144">
        <v>86.526199791114777</v>
      </c>
      <c r="C144">
        <v>784.24455093772849</v>
      </c>
      <c r="D144">
        <f t="shared" si="6"/>
        <v>7486.7832502919109</v>
      </c>
      <c r="E144">
        <f t="shared" si="7"/>
        <v>67857.700699530978</v>
      </c>
    </row>
    <row r="145" spans="2:5" x14ac:dyDescent="0.3">
      <c r="B145">
        <v>86.589637046563439</v>
      </c>
      <c r="C145">
        <v>786.92812874214724</v>
      </c>
      <c r="D145">
        <f t="shared" si="6"/>
        <v>7497.7652438555915</v>
      </c>
      <c r="E145">
        <f t="shared" si="7"/>
        <v>68139.821049513877</v>
      </c>
    </row>
    <row r="146" spans="2:5" x14ac:dyDescent="0.3">
      <c r="B146">
        <v>86.597242696007015</v>
      </c>
      <c r="C146">
        <v>787.05375269782962</v>
      </c>
      <c r="D146">
        <f t="shared" si="6"/>
        <v>7499.08244255114</v>
      </c>
      <c r="E146">
        <f t="shared" si="7"/>
        <v>68156.684837177032</v>
      </c>
    </row>
    <row r="147" spans="2:5" x14ac:dyDescent="0.3">
      <c r="B147">
        <v>86.620059644337744</v>
      </c>
      <c r="C147">
        <v>788.22586399473948</v>
      </c>
      <c r="D147">
        <f t="shared" si="6"/>
        <v>7503.0347327886284</v>
      </c>
      <c r="E147">
        <f t="shared" si="7"/>
        <v>68276.171352433987</v>
      </c>
    </row>
    <row r="148" spans="2:5" x14ac:dyDescent="0.3">
      <c r="B148">
        <v>86.814941621560138</v>
      </c>
      <c r="C148">
        <v>793.52764967188705</v>
      </c>
      <c r="D148">
        <f t="shared" si="6"/>
        <v>7536.8340887548948</v>
      </c>
      <c r="E148">
        <f t="shared" si="7"/>
        <v>68890.056581358702</v>
      </c>
    </row>
    <row r="149" spans="2:5" x14ac:dyDescent="0.3">
      <c r="B149">
        <v>87.228238751413301</v>
      </c>
      <c r="C149">
        <v>793.56914536765544</v>
      </c>
      <c r="D149">
        <f t="shared" si="6"/>
        <v>7608.7656356735606</v>
      </c>
      <c r="E149">
        <f t="shared" si="7"/>
        <v>69221.638877884863</v>
      </c>
    </row>
    <row r="150" spans="2:5" x14ac:dyDescent="0.3">
      <c r="B150">
        <v>87.801356837735511</v>
      </c>
      <c r="C150">
        <v>797.85229697881732</v>
      </c>
      <c r="D150">
        <f t="shared" si="6"/>
        <v>7709.0782625473648</v>
      </c>
      <c r="E150">
        <f t="shared" si="7"/>
        <v>70052.51423084407</v>
      </c>
    </row>
    <row r="151" spans="2:5" x14ac:dyDescent="0.3">
      <c r="B151">
        <v>87.843716553470585</v>
      </c>
      <c r="C151">
        <v>808.18586209352361</v>
      </c>
      <c r="D151">
        <f t="shared" si="6"/>
        <v>7716.5185379264822</v>
      </c>
      <c r="E151">
        <f t="shared" si="7"/>
        <v>70994.049792265752</v>
      </c>
    </row>
    <row r="152" spans="2:5" x14ac:dyDescent="0.3">
      <c r="B152">
        <v>87.908449838869274</v>
      </c>
      <c r="C152">
        <v>813.23981046443805</v>
      </c>
      <c r="D152">
        <f t="shared" si="6"/>
        <v>7727.8955530729954</v>
      </c>
      <c r="E152">
        <f t="shared" si="7"/>
        <v>71490.651085184611</v>
      </c>
    </row>
    <row r="153" spans="2:5" x14ac:dyDescent="0.3">
      <c r="B153">
        <v>87.940816481568618</v>
      </c>
      <c r="C153">
        <v>814.51082931016572</v>
      </c>
      <c r="D153">
        <f t="shared" si="6"/>
        <v>7733.5872034449303</v>
      </c>
      <c r="E153">
        <f t="shared" si="7"/>
        <v>71628.747362615541</v>
      </c>
    </row>
    <row r="154" spans="2:5" x14ac:dyDescent="0.3">
      <c r="B154">
        <v>87.973149018216645</v>
      </c>
      <c r="C154">
        <v>817.29445153177949</v>
      </c>
      <c r="D154">
        <f t="shared" si="6"/>
        <v>7739.2749481813526</v>
      </c>
      <c r="E154">
        <f t="shared" si="7"/>
        <v>71899.966576366875</v>
      </c>
    </row>
    <row r="155" spans="2:5" x14ac:dyDescent="0.3">
      <c r="B155">
        <v>88.017896157543873</v>
      </c>
      <c r="C155">
        <v>819.62332640250679</v>
      </c>
      <c r="D155">
        <f t="shared" si="6"/>
        <v>7747.1500440001764</v>
      </c>
      <c r="E155">
        <f t="shared" si="7"/>
        <v>72141.520831596528</v>
      </c>
    </row>
    <row r="156" spans="2:5" x14ac:dyDescent="0.3">
      <c r="B156">
        <v>88.094907621416496</v>
      </c>
      <c r="C156">
        <v>821.13251917326124</v>
      </c>
      <c r="D156">
        <f t="shared" si="6"/>
        <v>7760.7127488259066</v>
      </c>
      <c r="E156">
        <f t="shared" si="7"/>
        <v>72337.59342150946</v>
      </c>
    </row>
    <row r="157" spans="2:5" x14ac:dyDescent="0.3">
      <c r="B157">
        <v>88.18423136981437</v>
      </c>
      <c r="C157">
        <v>821.86636771075428</v>
      </c>
      <c r="D157">
        <f t="shared" si="6"/>
        <v>7776.4586622849529</v>
      </c>
      <c r="E157">
        <f t="shared" si="7"/>
        <v>72475.653925274091</v>
      </c>
    </row>
    <row r="158" spans="2:5" x14ac:dyDescent="0.3">
      <c r="B158">
        <v>88.273486906109611</v>
      </c>
      <c r="C158">
        <v>823.21071456681238</v>
      </c>
      <c r="D158">
        <f t="shared" si="6"/>
        <v>7792.2084905631045</v>
      </c>
      <c r="E158">
        <f t="shared" si="7"/>
        <v>72667.680233282648</v>
      </c>
    </row>
    <row r="159" spans="2:5" x14ac:dyDescent="0.3">
      <c r="B159">
        <v>88.330409905756824</v>
      </c>
      <c r="C159">
        <v>823.21071456681238</v>
      </c>
      <c r="D159">
        <f t="shared" si="6"/>
        <v>7802.2613141190232</v>
      </c>
      <c r="E159">
        <f t="shared" si="7"/>
        <v>72714.539856497518</v>
      </c>
    </row>
    <row r="160" spans="2:5" x14ac:dyDescent="0.3">
      <c r="B160">
        <v>88.851004673051648</v>
      </c>
      <c r="C160">
        <v>824.43171120394254</v>
      </c>
      <c r="D160">
        <f t="shared" si="6"/>
        <v>7894.5010314106457</v>
      </c>
      <c r="E160">
        <f t="shared" si="7"/>
        <v>73251.585824793467</v>
      </c>
    </row>
    <row r="161" spans="2:5" x14ac:dyDescent="0.3">
      <c r="B161">
        <v>89.245952747296542</v>
      </c>
      <c r="C161">
        <v>826.01707415597048</v>
      </c>
      <c r="D161">
        <f t="shared" si="6"/>
        <v>7964.840081772687</v>
      </c>
      <c r="E161">
        <f t="shared" si="7"/>
        <v>73718.680768583887</v>
      </c>
    </row>
    <row r="162" spans="2:5" x14ac:dyDescent="0.3">
      <c r="B162">
        <v>90.412720762833487</v>
      </c>
      <c r="C162">
        <v>830.07569426263217</v>
      </c>
      <c r="D162">
        <f t="shared" si="6"/>
        <v>8174.4600757381013</v>
      </c>
      <c r="E162">
        <f t="shared" si="7"/>
        <v>75049.401957382506</v>
      </c>
    </row>
    <row r="163" spans="2:5" x14ac:dyDescent="0.3">
      <c r="B163">
        <v>90.767116742063081</v>
      </c>
      <c r="C163">
        <v>836.46432610839838</v>
      </c>
      <c r="D163">
        <f t="shared" si="6"/>
        <v>8238.669481667308</v>
      </c>
      <c r="E163">
        <f t="shared" si="7"/>
        <v>75923.455138452118</v>
      </c>
    </row>
    <row r="164" spans="2:5" x14ac:dyDescent="0.3">
      <c r="B164">
        <v>90.911385339131812</v>
      </c>
      <c r="C164">
        <v>844.91523719043471</v>
      </c>
      <c r="D164">
        <f t="shared" si="6"/>
        <v>8264.8799842801109</v>
      </c>
      <c r="E164">
        <f t="shared" si="7"/>
        <v>76812.414707123564</v>
      </c>
    </row>
    <row r="165" spans="2:5" x14ac:dyDescent="0.3">
      <c r="B165">
        <v>91.120216691342648</v>
      </c>
      <c r="C165">
        <v>849.08356509549776</v>
      </c>
      <c r="D165">
        <f t="shared" si="6"/>
        <v>8302.8938898772394</v>
      </c>
      <c r="E165">
        <f t="shared" si="7"/>
        <v>77368.678440559495</v>
      </c>
    </row>
    <row r="166" spans="2:5" x14ac:dyDescent="0.3">
      <c r="B166">
        <v>91.146580669010291</v>
      </c>
      <c r="C166">
        <v>850.40403771563433</v>
      </c>
      <c r="D166">
        <f t="shared" si="6"/>
        <v>8307.6991676524012</v>
      </c>
      <c r="E166">
        <f t="shared" si="7"/>
        <v>77511.420224900139</v>
      </c>
    </row>
    <row r="167" spans="2:5" x14ac:dyDescent="0.3">
      <c r="B167">
        <v>91.443405633617658</v>
      </c>
      <c r="C167">
        <v>853.92037160636391</v>
      </c>
      <c r="D167">
        <f t="shared" si="6"/>
        <v>8361.8964338743372</v>
      </c>
      <c r="E167">
        <f t="shared" si="7"/>
        <v>78085.386919610261</v>
      </c>
    </row>
    <row r="168" spans="2:5" x14ac:dyDescent="0.3">
      <c r="B168">
        <v>91.68692284001736</v>
      </c>
      <c r="C168">
        <v>854.63887242076453</v>
      </c>
      <c r="D168">
        <f t="shared" si="6"/>
        <v>8406.4918198712967</v>
      </c>
      <c r="E168">
        <f t="shared" si="7"/>
        <v>78359.208351722074</v>
      </c>
    </row>
    <row r="169" spans="2:5" x14ac:dyDescent="0.3">
      <c r="B169">
        <v>91.720278558204882</v>
      </c>
      <c r="C169">
        <v>855.99515639478341</v>
      </c>
      <c r="D169">
        <f t="shared" si="6"/>
        <v>8412.6094987946981</v>
      </c>
      <c r="E169">
        <f t="shared" si="7"/>
        <v>78512.114189003682</v>
      </c>
    </row>
    <row r="170" spans="2:5" x14ac:dyDescent="0.3">
      <c r="B170">
        <v>91.834670254320372</v>
      </c>
      <c r="C170">
        <v>858.50479333748808</v>
      </c>
      <c r="D170">
        <f t="shared" si="6"/>
        <v>8433.6066607197554</v>
      </c>
      <c r="E170">
        <f t="shared" si="7"/>
        <v>78840.504607901676</v>
      </c>
    </row>
    <row r="171" spans="2:5" x14ac:dyDescent="0.3">
      <c r="B171">
        <v>91.903700902184937</v>
      </c>
      <c r="C171">
        <v>861.2497620342765</v>
      </c>
      <c r="D171">
        <f t="shared" si="6"/>
        <v>8446.2902395182682</v>
      </c>
      <c r="E171">
        <f t="shared" si="7"/>
        <v>79152.040532076106</v>
      </c>
    </row>
    <row r="172" spans="2:5" x14ac:dyDescent="0.3">
      <c r="B172">
        <v>92.169966844812734</v>
      </c>
      <c r="C172">
        <v>864.22835718258284</v>
      </c>
      <c r="D172">
        <f t="shared" si="6"/>
        <v>8495.3027881738781</v>
      </c>
      <c r="E172">
        <f t="shared" si="7"/>
        <v>79655.899027865642</v>
      </c>
    </row>
    <row r="173" spans="2:5" x14ac:dyDescent="0.3">
      <c r="B173">
        <v>92.359767020388972</v>
      </c>
      <c r="C173">
        <v>870.52774486073758</v>
      </c>
      <c r="D173">
        <f t="shared" si="6"/>
        <v>8530.3265640605296</v>
      </c>
      <c r="E173">
        <f t="shared" si="7"/>
        <v>80401.739700122343</v>
      </c>
    </row>
    <row r="174" spans="2:5" x14ac:dyDescent="0.3">
      <c r="B174">
        <v>92.490052136417944</v>
      </c>
      <c r="C174">
        <v>872.10912877344526</v>
      </c>
      <c r="D174">
        <f t="shared" si="6"/>
        <v>8554.4097441973099</v>
      </c>
      <c r="E174">
        <f t="shared" si="7"/>
        <v>80661.418788901981</v>
      </c>
    </row>
    <row r="175" spans="2:5" x14ac:dyDescent="0.3">
      <c r="B175">
        <v>92.594212017138489</v>
      </c>
      <c r="C175">
        <v>874.47949933994096</v>
      </c>
      <c r="D175">
        <f t="shared" si="6"/>
        <v>8573.6880990747941</v>
      </c>
      <c r="E175">
        <f t="shared" si="7"/>
        <v>80971.74016652361</v>
      </c>
    </row>
    <row r="176" spans="2:5" x14ac:dyDescent="0.3">
      <c r="B176">
        <v>93.200822245853487</v>
      </c>
      <c r="C176">
        <v>881.84754329267889</v>
      </c>
      <c r="D176">
        <f t="shared" si="6"/>
        <v>8686.3932673031777</v>
      </c>
      <c r="E176">
        <f t="shared" si="7"/>
        <v>82188.916130363548</v>
      </c>
    </row>
    <row r="177" spans="2:5" x14ac:dyDescent="0.3">
      <c r="B177">
        <v>93.438404999324121</v>
      </c>
      <c r="C177">
        <v>882.75192208675435</v>
      </c>
      <c r="D177">
        <f t="shared" si="6"/>
        <v>8730.7355288177187</v>
      </c>
      <c r="E177">
        <f t="shared" si="7"/>
        <v>82482.931609873965</v>
      </c>
    </row>
    <row r="178" spans="2:5" x14ac:dyDescent="0.3">
      <c r="B178">
        <v>93.494816408201586</v>
      </c>
      <c r="C178">
        <v>883.1845005042851</v>
      </c>
      <c r="D178">
        <f t="shared" si="6"/>
        <v>8741.2806952033206</v>
      </c>
      <c r="E178">
        <f t="shared" si="7"/>
        <v>82573.17272921736</v>
      </c>
    </row>
    <row r="179" spans="2:5" x14ac:dyDescent="0.3">
      <c r="B179">
        <v>93.551193711027736</v>
      </c>
      <c r="C179">
        <v>884.48109888850013</v>
      </c>
      <c r="D179">
        <f t="shared" si="6"/>
        <v>8751.8258447582357</v>
      </c>
      <c r="E179">
        <f t="shared" si="7"/>
        <v>82744.26261586076</v>
      </c>
    </row>
    <row r="180" spans="2:5" x14ac:dyDescent="0.3">
      <c r="B180">
        <v>94.141808201675303</v>
      </c>
      <c r="C180">
        <v>891.81503678992158</v>
      </c>
      <c r="D180">
        <f t="shared" si="6"/>
        <v>8862.6800514810202</v>
      </c>
      <c r="E180">
        <f t="shared" si="7"/>
        <v>83957.080144846797</v>
      </c>
    </row>
    <row r="181" spans="2:5" x14ac:dyDescent="0.3">
      <c r="B181">
        <v>94.176903328479966</v>
      </c>
      <c r="C181">
        <v>897.48573625547579</v>
      </c>
      <c r="D181">
        <f t="shared" si="6"/>
        <v>8869.28912054186</v>
      </c>
      <c r="E181">
        <f t="shared" si="7"/>
        <v>84522.427422021618</v>
      </c>
    </row>
    <row r="182" spans="2:5" x14ac:dyDescent="0.3">
      <c r="B182">
        <v>94.457289176352788</v>
      </c>
      <c r="C182">
        <v>899.24276633246336</v>
      </c>
      <c r="D182">
        <f t="shared" si="6"/>
        <v>8922.179478545133</v>
      </c>
      <c r="E182">
        <f t="shared" si="7"/>
        <v>84940.034019208935</v>
      </c>
    </row>
    <row r="183" spans="2:5" x14ac:dyDescent="0.3">
      <c r="B183">
        <v>94.839686223713215</v>
      </c>
      <c r="C183">
        <v>899.55540513619781</v>
      </c>
      <c r="D183">
        <f t="shared" si="6"/>
        <v>8994.5660830123779</v>
      </c>
      <c r="E183">
        <f t="shared" si="7"/>
        <v>85313.552363962226</v>
      </c>
    </row>
    <row r="184" spans="2:5" x14ac:dyDescent="0.3">
      <c r="B184">
        <v>94.853669704752974</v>
      </c>
      <c r="C184">
        <v>908.55485521024093</v>
      </c>
      <c r="D184">
        <f t="shared" si="6"/>
        <v>8997.2186564583717</v>
      </c>
      <c r="E184">
        <f t="shared" si="7"/>
        <v>86179.762144761859</v>
      </c>
    </row>
    <row r="185" spans="2:5" x14ac:dyDescent="0.3">
      <c r="B185">
        <v>94.897939359361771</v>
      </c>
      <c r="C185">
        <v>908.67195265309419</v>
      </c>
      <c r="D185">
        <f t="shared" si="6"/>
        <v>9005.6188946531038</v>
      </c>
      <c r="E185">
        <f t="shared" si="7"/>
        <v>86231.095860426183</v>
      </c>
    </row>
    <row r="186" spans="2:5" x14ac:dyDescent="0.3">
      <c r="B186">
        <v>95.084090187447146</v>
      </c>
      <c r="C186">
        <v>912.6748662092723</v>
      </c>
      <c r="D186">
        <f t="shared" si="6"/>
        <v>9040.9842067745831</v>
      </c>
      <c r="E186">
        <f t="shared" si="7"/>
        <v>86780.859290458699</v>
      </c>
    </row>
    <row r="187" spans="2:5" x14ac:dyDescent="0.3">
      <c r="B187">
        <v>95.11898067794391</v>
      </c>
      <c r="C187">
        <v>915.23679909732891</v>
      </c>
      <c r="D187">
        <f t="shared" si="6"/>
        <v>9047.6204852110659</v>
      </c>
      <c r="E187">
        <f t="shared" si="7"/>
        <v>87056.391409082062</v>
      </c>
    </row>
    <row r="188" spans="2:5" x14ac:dyDescent="0.3">
      <c r="B188">
        <v>95.416419551474974</v>
      </c>
      <c r="C188">
        <v>920.50959463085746</v>
      </c>
      <c r="D188">
        <f t="shared" si="6"/>
        <v>9104.293120023096</v>
      </c>
      <c r="E188">
        <f t="shared" si="7"/>
        <v>87831.729682456047</v>
      </c>
    </row>
    <row r="189" spans="2:5" x14ac:dyDescent="0.3">
      <c r="B189">
        <v>95.826988197222818</v>
      </c>
      <c r="C189">
        <v>926.74020177219063</v>
      </c>
      <c r="D189">
        <f t="shared" si="6"/>
        <v>9182.8116669506817</v>
      </c>
      <c r="E189">
        <f t="shared" si="7"/>
        <v>88806.722377115599</v>
      </c>
    </row>
    <row r="190" spans="2:5" x14ac:dyDescent="0.3">
      <c r="B190">
        <v>96.016890690953005</v>
      </c>
      <c r="C190">
        <v>935.42814991087653</v>
      </c>
      <c r="D190">
        <f t="shared" si="6"/>
        <v>9219.2432979584173</v>
      </c>
      <c r="E190">
        <f t="shared" si="7"/>
        <v>89816.90241923304</v>
      </c>
    </row>
    <row r="191" spans="2:5" x14ac:dyDescent="0.3">
      <c r="B191">
        <v>96.394001300359378</v>
      </c>
      <c r="C191">
        <v>939.32192410284188</v>
      </c>
      <c r="D191">
        <f t="shared" si="6"/>
        <v>9291.803486693685</v>
      </c>
      <c r="E191">
        <f t="shared" si="7"/>
        <v>90544.99877342541</v>
      </c>
    </row>
    <row r="192" spans="2:5" x14ac:dyDescent="0.3">
      <c r="B192">
        <v>96.437895788403694</v>
      </c>
      <c r="C192">
        <v>940.51620433310745</v>
      </c>
      <c r="D192">
        <f t="shared" si="6"/>
        <v>9300.2677440950101</v>
      </c>
      <c r="E192">
        <f t="shared" si="7"/>
        <v>90701.403700781215</v>
      </c>
    </row>
    <row r="193" spans="2:5" x14ac:dyDescent="0.3">
      <c r="B193">
        <v>96.516476130636875</v>
      </c>
      <c r="C193">
        <v>942.7495822601486</v>
      </c>
      <c r="D193">
        <f t="shared" si="6"/>
        <v>9315.4301646757976</v>
      </c>
      <c r="E193">
        <f t="shared" si="7"/>
        <v>90990.867553379518</v>
      </c>
    </row>
    <row r="194" spans="2:5" x14ac:dyDescent="0.3">
      <c r="B194">
        <v>96.795907009072835</v>
      </c>
      <c r="C194">
        <v>947.2521494681132</v>
      </c>
      <c r="D194">
        <f t="shared" si="6"/>
        <v>9369.4476137090751</v>
      </c>
      <c r="E194">
        <f t="shared" si="7"/>
        <v>91690.130974059852</v>
      </c>
    </row>
    <row r="195" spans="2:5" x14ac:dyDescent="0.3">
      <c r="B195">
        <v>97.033523868594784</v>
      </c>
      <c r="C195">
        <v>947.44484865805134</v>
      </c>
      <c r="D195">
        <f t="shared" si="6"/>
        <v>9415.5047543571545</v>
      </c>
      <c r="E195">
        <f t="shared" si="7"/>
        <v>91933.912336438196</v>
      </c>
    </row>
    <row r="196" spans="2:5" x14ac:dyDescent="0.3">
      <c r="B196">
        <v>97.181100752641214</v>
      </c>
      <c r="C196">
        <v>948.5601165361004</v>
      </c>
      <c r="D196">
        <f t="shared" si="6"/>
        <v>9444.1663434950024</v>
      </c>
      <c r="E196">
        <f t="shared" si="7"/>
        <v>92182.11625503187</v>
      </c>
    </row>
    <row r="197" spans="2:5" x14ac:dyDescent="0.3">
      <c r="B197">
        <v>97.204156443331158</v>
      </c>
      <c r="C197">
        <v>955.20738593768328</v>
      </c>
      <c r="D197">
        <f t="shared" si="6"/>
        <v>9448.648029859598</v>
      </c>
      <c r="E197">
        <f t="shared" si="7"/>
        <v>92850.128178511965</v>
      </c>
    </row>
    <row r="198" spans="2:5" x14ac:dyDescent="0.3">
      <c r="B198">
        <v>97.227178027969785</v>
      </c>
      <c r="C198">
        <v>956.28286342252977</v>
      </c>
      <c r="D198">
        <f t="shared" si="6"/>
        <v>9453.1241472825313</v>
      </c>
      <c r="E198">
        <f t="shared" si="7"/>
        <v>92976.684207079015</v>
      </c>
    </row>
    <row r="199" spans="2:5" x14ac:dyDescent="0.3">
      <c r="B199">
        <v>97.282498043205123</v>
      </c>
      <c r="C199">
        <v>959.46893704967806</v>
      </c>
      <c r="D199">
        <f t="shared" si="6"/>
        <v>9463.8844255262084</v>
      </c>
      <c r="E199">
        <f t="shared" si="7"/>
        <v>93339.534991051405</v>
      </c>
    </row>
    <row r="200" spans="2:5" x14ac:dyDescent="0.3">
      <c r="B200">
        <v>97.692452780029271</v>
      </c>
      <c r="C200">
        <v>961.65570337325335</v>
      </c>
      <c r="D200">
        <f t="shared" ref="D200:D263" si="8">B200*B200</f>
        <v>9543.8153301782495</v>
      </c>
      <c r="E200">
        <f t="shared" ref="E200:E263" si="9">B200*C200</f>
        <v>93946.504392437389</v>
      </c>
    </row>
    <row r="201" spans="2:5" x14ac:dyDescent="0.3">
      <c r="B201">
        <v>97.832833287247922</v>
      </c>
      <c r="C201">
        <v>966.25774656422436</v>
      </c>
      <c r="D201">
        <f t="shared" si="8"/>
        <v>9571.2632690104456</v>
      </c>
      <c r="E201">
        <f t="shared" si="9"/>
        <v>94531.733032129618</v>
      </c>
    </row>
    <row r="202" spans="2:5" x14ac:dyDescent="0.3">
      <c r="B202">
        <v>97.959366737632081</v>
      </c>
      <c r="C202">
        <v>973.84463767957641</v>
      </c>
      <c r="D202">
        <f t="shared" si="8"/>
        <v>9596.0375316378977</v>
      </c>
      <c r="E202">
        <f t="shared" si="9"/>
        <v>95397.204007930064</v>
      </c>
    </row>
    <row r="203" spans="2:5" x14ac:dyDescent="0.3">
      <c r="B203">
        <v>98.168641468510032</v>
      </c>
      <c r="C203">
        <v>975.56813013943611</v>
      </c>
      <c r="D203">
        <f t="shared" si="8"/>
        <v>9637.0821677728673</v>
      </c>
      <c r="E203">
        <f t="shared" si="9"/>
        <v>95770.197995763039</v>
      </c>
    </row>
    <row r="204" spans="2:5" x14ac:dyDescent="0.3">
      <c r="B204">
        <v>98.508815224340651</v>
      </c>
      <c r="C204">
        <v>979.81831256765872</v>
      </c>
      <c r="D204">
        <f t="shared" si="8"/>
        <v>9703.9866769032888</v>
      </c>
      <c r="E204">
        <f t="shared" si="9"/>
        <v>96520.741106152753</v>
      </c>
    </row>
    <row r="205" spans="2:5" x14ac:dyDescent="0.3">
      <c r="B205">
        <v>98.522594069072511</v>
      </c>
      <c r="C205">
        <v>983.1862851351616</v>
      </c>
      <c r="D205">
        <f t="shared" si="8"/>
        <v>9706.7015420992411</v>
      </c>
      <c r="E205">
        <f t="shared" si="9"/>
        <v>96866.063264650904</v>
      </c>
    </row>
    <row r="206" spans="2:5" x14ac:dyDescent="0.3">
      <c r="B206">
        <v>98.669659362349194</v>
      </c>
      <c r="C206">
        <v>984.67899331444642</v>
      </c>
      <c r="D206">
        <f t="shared" si="8"/>
        <v>9735.7016786820241</v>
      </c>
      <c r="E206">
        <f t="shared" si="9"/>
        <v>97157.940851597348</v>
      </c>
    </row>
    <row r="207" spans="2:5" x14ac:dyDescent="0.3">
      <c r="B207">
        <v>98.910789145156741</v>
      </c>
      <c r="C207">
        <v>985.63566805387381</v>
      </c>
      <c r="D207">
        <f t="shared" si="8"/>
        <v>9783.3442093176564</v>
      </c>
      <c r="E207">
        <f t="shared" si="9"/>
        <v>97490.001736822422</v>
      </c>
    </row>
    <row r="208" spans="2:5" x14ac:dyDescent="0.3">
      <c r="B208">
        <v>99.480155565834139</v>
      </c>
      <c r="C208">
        <v>991.79522092163097</v>
      </c>
      <c r="D208">
        <f t="shared" si="8"/>
        <v>9896.3013514025606</v>
      </c>
      <c r="E208">
        <f t="shared" si="9"/>
        <v>98663.94286673468</v>
      </c>
    </row>
    <row r="209" spans="2:5" x14ac:dyDescent="0.3">
      <c r="B209">
        <v>99.498538727493724</v>
      </c>
      <c r="C209">
        <v>992.2545157460263</v>
      </c>
      <c r="D209">
        <f t="shared" si="8"/>
        <v>9899.9592089065682</v>
      </c>
      <c r="E209">
        <f t="shared" si="9"/>
        <v>98727.874362486531</v>
      </c>
    </row>
    <row r="210" spans="2:5" x14ac:dyDescent="0.3">
      <c r="B210">
        <v>99.633939751220169</v>
      </c>
      <c r="C210">
        <v>997.15043941250769</v>
      </c>
      <c r="D210">
        <f t="shared" si="8"/>
        <v>9926.9219503497698</v>
      </c>
      <c r="E210">
        <f t="shared" si="9"/>
        <v>99350.02680332851</v>
      </c>
    </row>
    <row r="211" spans="2:5" x14ac:dyDescent="0.3">
      <c r="B211">
        <v>100.05392166713136</v>
      </c>
      <c r="C211">
        <v>997.38008682470536</v>
      </c>
      <c r="D211">
        <f t="shared" si="8"/>
        <v>10010.787240972459</v>
      </c>
      <c r="E211">
        <f t="shared" si="9"/>
        <v>99791.789079515744</v>
      </c>
    </row>
    <row r="212" spans="2:5" x14ac:dyDescent="0.3">
      <c r="B212">
        <v>100.4808271114598</v>
      </c>
      <c r="C212">
        <v>997.83881321491208</v>
      </c>
      <c r="D212">
        <f t="shared" si="8"/>
        <v>10096.396617003076</v>
      </c>
      <c r="E212">
        <f t="shared" si="9"/>
        <v>100263.66927575182</v>
      </c>
    </row>
    <row r="213" spans="2:5" x14ac:dyDescent="0.3">
      <c r="B213">
        <v>100.82284259406151</v>
      </c>
      <c r="C213">
        <v>1010.1175601230352</v>
      </c>
      <c r="D213">
        <f t="shared" si="8"/>
        <v>10165.245588746904</v>
      </c>
      <c r="E213">
        <f t="shared" si="9"/>
        <v>101842.92376578225</v>
      </c>
    </row>
    <row r="214" spans="2:5" x14ac:dyDescent="0.3">
      <c r="B214">
        <v>100.91465608420549</v>
      </c>
      <c r="C214">
        <v>1012.1838183986256</v>
      </c>
      <c r="D214">
        <f t="shared" si="8"/>
        <v>10183.767812593473</v>
      </c>
      <c r="E214">
        <f t="shared" si="9"/>
        <v>102144.1819276952</v>
      </c>
    </row>
    <row r="215" spans="2:5" x14ac:dyDescent="0.3">
      <c r="B215">
        <v>100.96059693532879</v>
      </c>
      <c r="C215">
        <v>1014.5939793583238</v>
      </c>
      <c r="D215">
        <f t="shared" si="8"/>
        <v>10193.042133537921</v>
      </c>
      <c r="E215">
        <f t="shared" si="9"/>
        <v>102434.01380300704</v>
      </c>
    </row>
    <row r="216" spans="2:5" x14ac:dyDescent="0.3">
      <c r="B216">
        <v>101.4130819181446</v>
      </c>
      <c r="C216">
        <v>1016.3925051310798</v>
      </c>
      <c r="D216">
        <f t="shared" si="8"/>
        <v>10284.613184136308</v>
      </c>
      <c r="E216">
        <f t="shared" si="9"/>
        <v>103075.4963838464</v>
      </c>
    </row>
    <row r="217" spans="2:5" x14ac:dyDescent="0.3">
      <c r="B217">
        <v>101.42914586831466</v>
      </c>
      <c r="C217">
        <v>1019.4165750144748</v>
      </c>
      <c r="D217">
        <f t="shared" si="8"/>
        <v>10287.871631575854</v>
      </c>
      <c r="E217">
        <f t="shared" si="9"/>
        <v>103398.5524877209</v>
      </c>
    </row>
    <row r="218" spans="2:5" x14ac:dyDescent="0.3">
      <c r="B218">
        <v>101.56703663378721</v>
      </c>
      <c r="C218">
        <v>1022.7470309255295</v>
      </c>
      <c r="D218">
        <f t="shared" si="8"/>
        <v>10315.862930569074</v>
      </c>
      <c r="E218">
        <f t="shared" si="9"/>
        <v>103877.38515711036</v>
      </c>
    </row>
    <row r="219" spans="2:5" x14ac:dyDescent="0.3">
      <c r="B219">
        <v>101.72791487784707</v>
      </c>
      <c r="C219">
        <v>1027.3428213404259</v>
      </c>
      <c r="D219">
        <f t="shared" si="8"/>
        <v>10348.568665394499</v>
      </c>
      <c r="E219">
        <f t="shared" si="9"/>
        <v>104509.4430796861</v>
      </c>
    </row>
    <row r="220" spans="2:5" x14ac:dyDescent="0.3">
      <c r="B220">
        <v>101.9808112483588</v>
      </c>
      <c r="C220">
        <v>1028.2619794234051</v>
      </c>
      <c r="D220">
        <f t="shared" si="8"/>
        <v>10400.085862873386</v>
      </c>
      <c r="E220">
        <f t="shared" si="9"/>
        <v>104862.99083744208</v>
      </c>
    </row>
    <row r="221" spans="2:5" x14ac:dyDescent="0.3">
      <c r="B221">
        <v>101.99462419914198</v>
      </c>
      <c r="C221">
        <v>1028.376803129504</v>
      </c>
      <c r="D221">
        <f t="shared" si="8"/>
        <v>10402.903365524198</v>
      </c>
      <c r="E221">
        <f t="shared" si="9"/>
        <v>104888.90557030878</v>
      </c>
    </row>
    <row r="222" spans="2:5" x14ac:dyDescent="0.3">
      <c r="B222">
        <v>102.1694859242416</v>
      </c>
      <c r="C222">
        <v>1030.5612957163248</v>
      </c>
      <c r="D222">
        <f t="shared" si="8"/>
        <v>10438.603854023802</v>
      </c>
      <c r="E222">
        <f t="shared" si="9"/>
        <v>105291.91779675723</v>
      </c>
    </row>
    <row r="223" spans="2:5" x14ac:dyDescent="0.3">
      <c r="B223">
        <v>102.39963355852524</v>
      </c>
      <c r="C223">
        <v>1031.0205905407201</v>
      </c>
      <c r="D223">
        <f t="shared" si="8"/>
        <v>10485.684952920248</v>
      </c>
      <c r="E223">
        <f t="shared" si="9"/>
        <v>105576.13066266403</v>
      </c>
    </row>
    <row r="224" spans="2:5" x14ac:dyDescent="0.3">
      <c r="B224">
        <v>102.51477558776969</v>
      </c>
      <c r="C224">
        <v>1031.9789705827134</v>
      </c>
      <c r="D224">
        <f t="shared" si="8"/>
        <v>10509.27921381078</v>
      </c>
      <c r="E224">
        <f t="shared" si="9"/>
        <v>105793.09258058445</v>
      </c>
    </row>
    <row r="225" spans="2:5" x14ac:dyDescent="0.3">
      <c r="B225">
        <v>102.51937990469742</v>
      </c>
      <c r="C225">
        <v>1033.512606023578</v>
      </c>
      <c r="D225">
        <f t="shared" si="8"/>
        <v>10510.223256043677</v>
      </c>
      <c r="E225">
        <f t="shared" si="9"/>
        <v>105955.07149322506</v>
      </c>
    </row>
    <row r="226" spans="2:5" x14ac:dyDescent="0.3">
      <c r="B226">
        <v>102.67370978690451</v>
      </c>
      <c r="C226">
        <v>1042.2198809246765</v>
      </c>
      <c r="D226">
        <f t="shared" si="8"/>
        <v>10541.890681405492</v>
      </c>
      <c r="E226">
        <f t="shared" si="9"/>
        <v>107008.58158820242</v>
      </c>
    </row>
    <row r="227" spans="2:5" x14ac:dyDescent="0.3">
      <c r="B227">
        <v>102.88114279101137</v>
      </c>
      <c r="C227">
        <v>1043.2947899753344</v>
      </c>
      <c r="D227">
        <f t="shared" si="8"/>
        <v>10584.529541984472</v>
      </c>
      <c r="E227">
        <f t="shared" si="9"/>
        <v>107335.3602605706</v>
      </c>
    </row>
    <row r="228" spans="2:5" x14ac:dyDescent="0.3">
      <c r="B228">
        <v>103.07026084556128</v>
      </c>
      <c r="C228">
        <v>1044.0627445641439</v>
      </c>
      <c r="D228">
        <f t="shared" si="8"/>
        <v>10623.478670772043</v>
      </c>
      <c r="E228">
        <f t="shared" si="9"/>
        <v>107611.81942135893</v>
      </c>
    </row>
    <row r="229" spans="2:5" x14ac:dyDescent="0.3">
      <c r="B229">
        <v>103.28720943798544</v>
      </c>
      <c r="C229">
        <v>1048.4419615531806</v>
      </c>
      <c r="D229">
        <f t="shared" si="8"/>
        <v>10668.247633486268</v>
      </c>
      <c r="E229">
        <f t="shared" si="9"/>
        <v>108290.64446651565</v>
      </c>
    </row>
    <row r="230" spans="2:5" x14ac:dyDescent="0.3">
      <c r="B230">
        <v>103.43270585290156</v>
      </c>
      <c r="C230">
        <v>1049.1337459607166</v>
      </c>
      <c r="D230">
        <f t="shared" si="8"/>
        <v>10698.324640052857</v>
      </c>
      <c r="E230">
        <f t="shared" si="9"/>
        <v>108514.74214630756</v>
      </c>
    </row>
    <row r="231" spans="2:5" x14ac:dyDescent="0.3">
      <c r="B231">
        <v>103.73318016499979</v>
      </c>
      <c r="C231">
        <v>1050.1330532642896</v>
      </c>
      <c r="D231">
        <f t="shared" si="8"/>
        <v>10760.572667144306</v>
      </c>
      <c r="E231">
        <f t="shared" si="9"/>
        <v>108933.64121148588</v>
      </c>
    </row>
    <row r="232" spans="2:5" x14ac:dyDescent="0.3">
      <c r="B232">
        <v>103.78638560505351</v>
      </c>
      <c r="C232">
        <v>1051.6325826538377</v>
      </c>
      <c r="D232">
        <f t="shared" si="8"/>
        <v>10771.613836960858</v>
      </c>
      <c r="E232">
        <f t="shared" si="9"/>
        <v>109145.14473814951</v>
      </c>
    </row>
    <row r="233" spans="2:5" x14ac:dyDescent="0.3">
      <c r="B233">
        <v>103.99003283746424</v>
      </c>
      <c r="C233">
        <v>1051.7866283189505</v>
      </c>
      <c r="D233">
        <f t="shared" si="8"/>
        <v>10813.92692953689</v>
      </c>
      <c r="E233">
        <f t="shared" si="9"/>
        <v>109375.32601689346</v>
      </c>
    </row>
    <row r="234" spans="2:5" x14ac:dyDescent="0.3">
      <c r="B234">
        <v>104.03171043217299</v>
      </c>
      <c r="C234">
        <v>1052.7091970070614</v>
      </c>
      <c r="D234">
        <f t="shared" si="8"/>
        <v>10822.59677544349</v>
      </c>
      <c r="E234">
        <f t="shared" si="9"/>
        <v>109515.13835232396</v>
      </c>
    </row>
    <row r="235" spans="2:5" x14ac:dyDescent="0.3">
      <c r="B235">
        <v>104.63930973637616</v>
      </c>
      <c r="C235">
        <v>1053.9017719347612</v>
      </c>
      <c r="D235">
        <f t="shared" si="8"/>
        <v>10949.385142105268</v>
      </c>
      <c r="E235">
        <f t="shared" si="9"/>
        <v>110279.55394519714</v>
      </c>
    </row>
    <row r="236" spans="2:5" x14ac:dyDescent="0.3">
      <c r="B236">
        <v>104.66488927486353</v>
      </c>
      <c r="C236">
        <v>1056.4034507988254</v>
      </c>
      <c r="D236">
        <f t="shared" si="8"/>
        <v>10954.739046919442</v>
      </c>
      <c r="E236">
        <f t="shared" si="9"/>
        <v>110568.3502074428</v>
      </c>
    </row>
    <row r="237" spans="2:5" x14ac:dyDescent="0.3">
      <c r="B237">
        <v>104.68808138975874</v>
      </c>
      <c r="C237">
        <v>1056.6342350794002</v>
      </c>
      <c r="D237">
        <f t="shared" si="8"/>
        <v>10959.594385068749</v>
      </c>
      <c r="E237">
        <f t="shared" si="9"/>
        <v>110617.01080119771</v>
      </c>
    </row>
    <row r="238" spans="2:5" x14ac:dyDescent="0.3">
      <c r="B238">
        <v>105.20454932484427</v>
      </c>
      <c r="C238">
        <v>1059.9072791374056</v>
      </c>
      <c r="D238">
        <f t="shared" si="8"/>
        <v>11067.99719864359</v>
      </c>
      <c r="E238">
        <f t="shared" si="9"/>
        <v>111507.06762777266</v>
      </c>
    </row>
    <row r="239" spans="2:5" x14ac:dyDescent="0.3">
      <c r="B239">
        <v>105.2162135943945</v>
      </c>
      <c r="C239">
        <v>1063.0677732260665</v>
      </c>
      <c r="D239">
        <f t="shared" si="8"/>
        <v>11070.451603141246</v>
      </c>
      <c r="E239">
        <f t="shared" si="9"/>
        <v>111851.96589307114</v>
      </c>
    </row>
    <row r="240" spans="2:5" x14ac:dyDescent="0.3">
      <c r="B240">
        <v>105.46569935977459</v>
      </c>
      <c r="C240">
        <v>1068.7782630848233</v>
      </c>
      <c r="D240">
        <f t="shared" si="8"/>
        <v>11123.013741446359</v>
      </c>
      <c r="E240">
        <f t="shared" si="9"/>
        <v>112719.44697676605</v>
      </c>
    </row>
    <row r="241" spans="2:5" x14ac:dyDescent="0.3">
      <c r="B241">
        <v>106.23526830167975</v>
      </c>
      <c r="C241">
        <v>1073.3757588022854</v>
      </c>
      <c r="D241">
        <f t="shared" si="8"/>
        <v>11285.932231129882</v>
      </c>
      <c r="E241">
        <f t="shared" si="9"/>
        <v>114030.36172487988</v>
      </c>
    </row>
    <row r="242" spans="2:5" x14ac:dyDescent="0.3">
      <c r="B242">
        <v>106.24696667728131</v>
      </c>
      <c r="C242">
        <v>1078.2125653131516</v>
      </c>
      <c r="D242">
        <f t="shared" si="8"/>
        <v>11288.417928123325</v>
      </c>
      <c r="E242">
        <f t="shared" si="9"/>
        <v>114556.81449785241</v>
      </c>
    </row>
    <row r="243" spans="2:5" x14ac:dyDescent="0.3">
      <c r="B243">
        <v>106.32203409622889</v>
      </c>
      <c r="C243">
        <v>1084.2589997773757</v>
      </c>
      <c r="D243">
        <f t="shared" si="8"/>
        <v>11304.374934359659</v>
      </c>
      <c r="E243">
        <f t="shared" si="9"/>
        <v>115280.62234347318</v>
      </c>
    </row>
    <row r="244" spans="2:5" x14ac:dyDescent="0.3">
      <c r="B244">
        <v>106.33376657788176</v>
      </c>
      <c r="C244">
        <v>1091.9897047424456</v>
      </c>
      <c r="D244">
        <f t="shared" si="8"/>
        <v>11306.869914639445</v>
      </c>
      <c r="E244">
        <f t="shared" si="9"/>
        <v>116115.37836953324</v>
      </c>
    </row>
    <row r="245" spans="2:5" x14ac:dyDescent="0.3">
      <c r="B245">
        <v>106.60627392790047</v>
      </c>
      <c r="C245">
        <v>1094.4021394388983</v>
      </c>
      <c r="D245">
        <f t="shared" si="8"/>
        <v>11364.897640790552</v>
      </c>
      <c r="E245">
        <f t="shared" si="9"/>
        <v>116670.13426430352</v>
      </c>
    </row>
    <row r="246" spans="2:5" x14ac:dyDescent="0.3">
      <c r="B246">
        <v>106.60627392790047</v>
      </c>
      <c r="C246">
        <v>1097.9872538664495</v>
      </c>
      <c r="D246">
        <f t="shared" si="8"/>
        <v>11364.897640790552</v>
      </c>
      <c r="E246">
        <f t="shared" si="9"/>
        <v>117052.32995502991</v>
      </c>
    </row>
    <row r="247" spans="2:5" x14ac:dyDescent="0.3">
      <c r="B247">
        <v>106.79215190757532</v>
      </c>
      <c r="C247">
        <v>1099.2349669104442</v>
      </c>
      <c r="D247">
        <f t="shared" si="8"/>
        <v>11404.563709050643</v>
      </c>
      <c r="E247">
        <f t="shared" si="9"/>
        <v>117389.66756841868</v>
      </c>
    </row>
    <row r="248" spans="2:5" x14ac:dyDescent="0.3">
      <c r="B248">
        <v>107.19064701115713</v>
      </c>
      <c r="C248">
        <v>1109.0461410058197</v>
      </c>
      <c r="D248">
        <f t="shared" si="8"/>
        <v>11489.834806670488</v>
      </c>
      <c r="E248">
        <f t="shared" si="9"/>
        <v>118879.3734196408</v>
      </c>
    </row>
    <row r="249" spans="2:5" x14ac:dyDescent="0.3">
      <c r="B249">
        <v>107.29698967916192</v>
      </c>
      <c r="C249">
        <v>1111.633084998175</v>
      </c>
      <c r="D249">
        <f t="shared" si="8"/>
        <v>11512.643994210181</v>
      </c>
      <c r="E249">
        <f t="shared" si="9"/>
        <v>119274.88364806412</v>
      </c>
    </row>
    <row r="250" spans="2:5" x14ac:dyDescent="0.3">
      <c r="B250">
        <v>107.36554284230806</v>
      </c>
      <c r="C250">
        <v>1112.1821924243704</v>
      </c>
      <c r="D250">
        <f t="shared" si="8"/>
        <v>11527.359789823488</v>
      </c>
      <c r="E250">
        <f t="shared" si="9"/>
        <v>119410.04482919085</v>
      </c>
    </row>
    <row r="251" spans="2:5" x14ac:dyDescent="0.3">
      <c r="B251">
        <v>107.58573150960729</v>
      </c>
      <c r="C251">
        <v>1112.9274096456356</v>
      </c>
      <c r="D251">
        <f t="shared" si="8"/>
        <v>11574.689624457305</v>
      </c>
      <c r="E251">
        <f t="shared" si="9"/>
        <v>119735.10948381807</v>
      </c>
    </row>
    <row r="252" spans="2:5" x14ac:dyDescent="0.3">
      <c r="B252">
        <v>107.88467104939627</v>
      </c>
      <c r="C252">
        <v>1116.4619334304007</v>
      </c>
      <c r="D252">
        <f t="shared" si="8"/>
        <v>11639.102247436444</v>
      </c>
      <c r="E252">
        <f t="shared" si="9"/>
        <v>120449.12842731173</v>
      </c>
    </row>
    <row r="253" spans="2:5" x14ac:dyDescent="0.3">
      <c r="B253">
        <v>107.90366811997956</v>
      </c>
      <c r="C253">
        <v>1117.3265218312736</v>
      </c>
      <c r="D253">
        <f t="shared" si="8"/>
        <v>11643.201593746693</v>
      </c>
      <c r="E253">
        <f t="shared" si="9"/>
        <v>120563.63019333284</v>
      </c>
    </row>
    <row r="254" spans="2:5" x14ac:dyDescent="0.3">
      <c r="B254">
        <v>108.47538785819779</v>
      </c>
      <c r="C254">
        <v>1119.0966258945991</v>
      </c>
      <c r="D254">
        <f t="shared" si="8"/>
        <v>11766.909770986445</v>
      </c>
      <c r="E254">
        <f t="shared" si="9"/>
        <v>121394.44054471712</v>
      </c>
    </row>
    <row r="255" spans="2:5" x14ac:dyDescent="0.3">
      <c r="B255">
        <v>108.5327201304608</v>
      </c>
      <c r="C255">
        <v>1121.4198164234404</v>
      </c>
      <c r="D255">
        <f t="shared" si="8"/>
        <v>11779.351338916931</v>
      </c>
      <c r="E255">
        <f t="shared" si="9"/>
        <v>121710.74308463799</v>
      </c>
    </row>
    <row r="256" spans="2:5" x14ac:dyDescent="0.3">
      <c r="B256">
        <v>109.03578438737895</v>
      </c>
      <c r="C256">
        <v>1126.4680804524687</v>
      </c>
      <c r="D256">
        <f t="shared" si="8"/>
        <v>11888.802276970991</v>
      </c>
      <c r="E256">
        <f t="shared" si="9"/>
        <v>122825.33073948002</v>
      </c>
    </row>
    <row r="257" spans="2:5" x14ac:dyDescent="0.3">
      <c r="B257">
        <v>109.26415850699414</v>
      </c>
      <c r="C257">
        <v>1130.9757635681308</v>
      </c>
      <c r="D257">
        <f t="shared" si="8"/>
        <v>11938.656334241539</v>
      </c>
      <c r="E257">
        <f t="shared" si="9"/>
        <v>123575.11509807696</v>
      </c>
    </row>
    <row r="258" spans="2:5" x14ac:dyDescent="0.3">
      <c r="B258">
        <v>109.49553395912517</v>
      </c>
      <c r="C258">
        <v>1133.2330157310935</v>
      </c>
      <c r="D258">
        <f t="shared" si="8"/>
        <v>11989.271956993933</v>
      </c>
      <c r="E258">
        <f t="shared" si="9"/>
        <v>124083.95415758577</v>
      </c>
    </row>
    <row r="259" spans="2:5" x14ac:dyDescent="0.3">
      <c r="B259">
        <v>109.74437170953024</v>
      </c>
      <c r="C259">
        <v>1133.2330157310935</v>
      </c>
      <c r="D259">
        <f t="shared" si="8"/>
        <v>12043.827121919541</v>
      </c>
      <c r="E259">
        <f t="shared" si="9"/>
        <v>124365.94531190506</v>
      </c>
    </row>
    <row r="260" spans="2:5" x14ac:dyDescent="0.3">
      <c r="B260">
        <v>110.26844529405935</v>
      </c>
      <c r="C260">
        <v>1133.6695731879445</v>
      </c>
      <c r="D260">
        <f t="shared" si="8"/>
        <v>12159.130027568959</v>
      </c>
      <c r="E260">
        <f t="shared" si="9"/>
        <v>125007.98131261446</v>
      </c>
    </row>
    <row r="261" spans="2:5" x14ac:dyDescent="0.3">
      <c r="B261">
        <v>110.30739440466277</v>
      </c>
      <c r="C261">
        <v>1159.143382916227</v>
      </c>
      <c r="D261">
        <f t="shared" si="8"/>
        <v>12167.721260345828</v>
      </c>
      <c r="E261">
        <f t="shared" si="9"/>
        <v>127862.08631089529</v>
      </c>
    </row>
    <row r="262" spans="2:5" x14ac:dyDescent="0.3">
      <c r="B262">
        <v>110.33658918458968</v>
      </c>
      <c r="C262">
        <v>1159.5458343217615</v>
      </c>
      <c r="D262">
        <f t="shared" si="8"/>
        <v>12174.162912888913</v>
      </c>
      <c r="E262">
        <f t="shared" si="9"/>
        <v>127940.33236226249</v>
      </c>
    </row>
    <row r="263" spans="2:5" x14ac:dyDescent="0.3">
      <c r="B263">
        <v>110.53651885740692</v>
      </c>
      <c r="C263">
        <v>1163.4953150642104</v>
      </c>
      <c r="D263">
        <f t="shared" si="8"/>
        <v>12218.322001113875</v>
      </c>
      <c r="E263">
        <f t="shared" si="9"/>
        <v>128608.72183409971</v>
      </c>
    </row>
    <row r="264" spans="2:5" x14ac:dyDescent="0.3">
      <c r="B264">
        <v>110.87652208298096</v>
      </c>
      <c r="C264">
        <v>1164.3428504394251</v>
      </c>
      <c r="D264">
        <f t="shared" ref="D264:D327" si="10">B264*B264</f>
        <v>12293.603149217763</v>
      </c>
      <c r="E264">
        <f t="shared" ref="E264:E327" si="11">B264*C264</f>
        <v>129098.28576890791</v>
      </c>
    </row>
    <row r="265" spans="2:5" x14ac:dyDescent="0.3">
      <c r="B265">
        <v>110.95008883567061</v>
      </c>
      <c r="C265">
        <v>1171.4653308226843</v>
      </c>
      <c r="D265">
        <f t="shared" si="10"/>
        <v>12309.922212643201</v>
      </c>
      <c r="E265">
        <f t="shared" si="11"/>
        <v>129974.18252268509</v>
      </c>
    </row>
    <row r="266" spans="2:5" x14ac:dyDescent="0.3">
      <c r="B266">
        <v>111.03596787288552</v>
      </c>
      <c r="C266">
        <v>1174.9987177390722</v>
      </c>
      <c r="D266">
        <f t="shared" si="10"/>
        <v>12328.986161468465</v>
      </c>
      <c r="E266">
        <f t="shared" si="11"/>
        <v>130467.1198735573</v>
      </c>
    </row>
    <row r="267" spans="2:5" x14ac:dyDescent="0.3">
      <c r="B267">
        <v>111.08016931539169</v>
      </c>
      <c r="C267">
        <v>1175.3244305291446</v>
      </c>
      <c r="D267">
        <f t="shared" si="10"/>
        <v>12338.804015136084</v>
      </c>
      <c r="E267">
        <f t="shared" si="11"/>
        <v>130555.23674369369</v>
      </c>
    </row>
    <row r="268" spans="2:5" x14ac:dyDescent="0.3">
      <c r="B268">
        <v>111.78350430564024</v>
      </c>
      <c r="C268">
        <v>1178.5411996024777</v>
      </c>
      <c r="D268">
        <f t="shared" si="10"/>
        <v>12495.55183484909</v>
      </c>
      <c r="E268">
        <f t="shared" si="11"/>
        <v>131741.46526013798</v>
      </c>
    </row>
    <row r="269" spans="2:5" x14ac:dyDescent="0.3">
      <c r="B269">
        <v>111.78599404738634</v>
      </c>
      <c r="C269">
        <v>1185.3663889050949</v>
      </c>
      <c r="D269">
        <f t="shared" si="10"/>
        <v>12496.108465162293</v>
      </c>
      <c r="E269">
        <f t="shared" si="11"/>
        <v>132507.3600941168</v>
      </c>
    </row>
    <row r="270" spans="2:5" x14ac:dyDescent="0.3">
      <c r="B270">
        <v>111.9125274977705</v>
      </c>
      <c r="C270">
        <v>1193.2556870087865</v>
      </c>
      <c r="D270">
        <f t="shared" si="10"/>
        <v>12524.413810939237</v>
      </c>
      <c r="E270">
        <f t="shared" si="11"/>
        <v>133540.25988424185</v>
      </c>
    </row>
    <row r="271" spans="2:5" x14ac:dyDescent="0.3">
      <c r="B271">
        <v>112.11644757859176</v>
      </c>
      <c r="C271">
        <v>1195.8551365532912</v>
      </c>
      <c r="D271">
        <f t="shared" si="10"/>
        <v>12570.097817643114</v>
      </c>
      <c r="E271">
        <f t="shared" si="11"/>
        <v>134075.02972896677</v>
      </c>
    </row>
    <row r="272" spans="2:5" x14ac:dyDescent="0.3">
      <c r="B272">
        <v>112.40334768226603</v>
      </c>
      <c r="C272">
        <v>1199.8671450564871</v>
      </c>
      <c r="D272">
        <f t="shared" si="10"/>
        <v>12634.512570180381</v>
      </c>
      <c r="E272">
        <f t="shared" si="11"/>
        <v>134869.08387831223</v>
      </c>
    </row>
    <row r="273" spans="2:5" x14ac:dyDescent="0.3">
      <c r="B273">
        <v>113.37489266006742</v>
      </c>
      <c r="C273">
        <v>1205.0984448942472</v>
      </c>
      <c r="D273">
        <f t="shared" si="10"/>
        <v>12853.866285681808</v>
      </c>
      <c r="E273">
        <f t="shared" si="11"/>
        <v>136627.90683469945</v>
      </c>
    </row>
    <row r="274" spans="2:5" x14ac:dyDescent="0.3">
      <c r="B274">
        <v>113.81226866215002</v>
      </c>
      <c r="C274">
        <v>1208.4732386720134</v>
      </c>
      <c r="D274">
        <f t="shared" si="10"/>
        <v>12953.232498025414</v>
      </c>
      <c r="E274">
        <f t="shared" si="11"/>
        <v>137539.08091075774</v>
      </c>
    </row>
    <row r="275" spans="2:5" x14ac:dyDescent="0.3">
      <c r="B275">
        <v>114.1345708470908</v>
      </c>
      <c r="C275">
        <v>1210.6031615767279</v>
      </c>
      <c r="D275">
        <f t="shared" si="10"/>
        <v>13026.700262449589</v>
      </c>
      <c r="E275">
        <f t="shared" si="11"/>
        <v>138171.67231269117</v>
      </c>
    </row>
    <row r="276" spans="2:5" x14ac:dyDescent="0.3">
      <c r="B276">
        <v>115.06464286649134</v>
      </c>
      <c r="C276">
        <v>1212.1089437423507</v>
      </c>
      <c r="D276">
        <f t="shared" si="10"/>
        <v>13239.872037993196</v>
      </c>
      <c r="E276">
        <f t="shared" si="11"/>
        <v>139470.88272699362</v>
      </c>
    </row>
    <row r="277" spans="2:5" x14ac:dyDescent="0.3">
      <c r="B277">
        <v>115.07507931819418</v>
      </c>
      <c r="C277">
        <v>1216.0913936677389</v>
      </c>
      <c r="D277">
        <f t="shared" si="10"/>
        <v>13242.273880088684</v>
      </c>
      <c r="E277">
        <f t="shared" si="11"/>
        <v>139941.81358448835</v>
      </c>
    </row>
    <row r="278" spans="2:5" x14ac:dyDescent="0.3">
      <c r="B278">
        <v>115.31249154140824</v>
      </c>
      <c r="C278">
        <v>1216.4273382732063</v>
      </c>
      <c r="D278">
        <f t="shared" si="10"/>
        <v>13296.970705487345</v>
      </c>
      <c r="E278">
        <f t="shared" si="11"/>
        <v>140269.26715536683</v>
      </c>
    </row>
    <row r="279" spans="2:5" x14ac:dyDescent="0.3">
      <c r="B279">
        <v>115.35693172627361</v>
      </c>
      <c r="C279">
        <v>1220.0454218836967</v>
      </c>
      <c r="D279">
        <f t="shared" si="10"/>
        <v>13307.221697300152</v>
      </c>
      <c r="E279">
        <f t="shared" si="11"/>
        <v>140740.6964351903</v>
      </c>
    </row>
    <row r="280" spans="2:5" x14ac:dyDescent="0.3">
      <c r="B280">
        <v>115.83506445967942</v>
      </c>
      <c r="C280">
        <v>1224.7747943329159</v>
      </c>
      <c r="D280">
        <f t="shared" si="10"/>
        <v>13417.762158378086</v>
      </c>
      <c r="E280">
        <f t="shared" si="11"/>
        <v>141871.8672501439</v>
      </c>
    </row>
    <row r="281" spans="2:5" x14ac:dyDescent="0.3">
      <c r="B281">
        <v>116.13659605936846</v>
      </c>
      <c r="C281">
        <v>1226.2993348267628</v>
      </c>
      <c r="D281">
        <f t="shared" si="10"/>
        <v>13487.708944256918</v>
      </c>
      <c r="E281">
        <f t="shared" si="11"/>
        <v>142418.23049664797</v>
      </c>
    </row>
    <row r="282" spans="2:5" x14ac:dyDescent="0.3">
      <c r="B282">
        <v>116.16313056729268</v>
      </c>
      <c r="C282">
        <v>1236.1753104196396</v>
      </c>
      <c r="D282">
        <f t="shared" si="10"/>
        <v>13493.872903193887</v>
      </c>
      <c r="E282">
        <f t="shared" si="11"/>
        <v>143597.99398834017</v>
      </c>
    </row>
    <row r="283" spans="2:5" x14ac:dyDescent="0.3">
      <c r="B283">
        <v>116.29859980312176</v>
      </c>
      <c r="C283">
        <v>1240.5027998975129</v>
      </c>
      <c r="D283">
        <f t="shared" si="10"/>
        <v>13525.364316166673</v>
      </c>
      <c r="E283">
        <f t="shared" si="11"/>
        <v>144268.7386799329</v>
      </c>
    </row>
    <row r="284" spans="2:5" x14ac:dyDescent="0.3">
      <c r="B284">
        <v>116.31190116313519</v>
      </c>
      <c r="C284">
        <v>1241.662974076462</v>
      </c>
      <c r="D284">
        <f t="shared" si="10"/>
        <v>13528.45835218293</v>
      </c>
      <c r="E284">
        <f t="shared" si="11"/>
        <v>144420.18111870595</v>
      </c>
    </row>
    <row r="285" spans="2:5" x14ac:dyDescent="0.3">
      <c r="B285">
        <v>116.43979885557201</v>
      </c>
      <c r="C285">
        <v>1243.9867330394918</v>
      </c>
      <c r="D285">
        <f t="shared" si="10"/>
        <v>13558.226757526068</v>
      </c>
      <c r="E285">
        <f t="shared" si="11"/>
        <v>144849.56497411858</v>
      </c>
    </row>
    <row r="286" spans="2:5" x14ac:dyDescent="0.3">
      <c r="B286">
        <v>116.54655079619261</v>
      </c>
      <c r="C286">
        <v>1244.9780822644243</v>
      </c>
      <c r="D286">
        <f t="shared" si="10"/>
        <v>13583.098502489504</v>
      </c>
      <c r="E286">
        <f t="shared" si="11"/>
        <v>145097.90130477719</v>
      </c>
    </row>
    <row r="287" spans="2:5" x14ac:dyDescent="0.3">
      <c r="B287">
        <v>116.68566937951255</v>
      </c>
      <c r="C287">
        <v>1248.910509981215</v>
      </c>
      <c r="D287">
        <f t="shared" si="10"/>
        <v>13615.545438544912</v>
      </c>
      <c r="E287">
        <f t="shared" si="11"/>
        <v>145729.95885226646</v>
      </c>
    </row>
    <row r="288" spans="2:5" x14ac:dyDescent="0.3">
      <c r="B288">
        <v>116.91114448476583</v>
      </c>
      <c r="C288">
        <v>1250.1667495380389</v>
      </c>
      <c r="D288">
        <f t="shared" si="10"/>
        <v>13668.215704737791</v>
      </c>
      <c r="E288">
        <f t="shared" si="11"/>
        <v>146158.42548529172</v>
      </c>
    </row>
    <row r="289" spans="2:5" x14ac:dyDescent="0.3">
      <c r="B289">
        <v>117.0890075423813</v>
      </c>
      <c r="C289">
        <v>1260.8885552035645</v>
      </c>
      <c r="D289">
        <f t="shared" si="10"/>
        <v>13709.835687259823</v>
      </c>
      <c r="E289">
        <f t="shared" si="11"/>
        <v>147636.1895503324</v>
      </c>
    </row>
    <row r="290" spans="2:5" x14ac:dyDescent="0.3">
      <c r="B290">
        <v>117.21332409942988</v>
      </c>
      <c r="C290">
        <v>1271.2886271183379</v>
      </c>
      <c r="D290">
        <f t="shared" si="10"/>
        <v>13738.963346437989</v>
      </c>
      <c r="E290">
        <f t="shared" si="11"/>
        <v>149011.965874341</v>
      </c>
    </row>
    <row r="291" spans="2:5" x14ac:dyDescent="0.3">
      <c r="B291">
        <v>117.38133050821489</v>
      </c>
      <c r="C291">
        <v>1277.9160013233195</v>
      </c>
      <c r="D291">
        <f t="shared" si="10"/>
        <v>13778.376751878779</v>
      </c>
      <c r="E291">
        <f t="shared" si="11"/>
        <v>150003.48051306893</v>
      </c>
    </row>
    <row r="292" spans="2:5" x14ac:dyDescent="0.3">
      <c r="B292">
        <v>117.48187514749588</v>
      </c>
      <c r="C292">
        <v>1278.2280716928653</v>
      </c>
      <c r="D292">
        <f t="shared" si="10"/>
        <v>13801.99098817181</v>
      </c>
      <c r="E292">
        <f t="shared" si="11"/>
        <v>150168.63072864563</v>
      </c>
    </row>
    <row r="293" spans="2:5" x14ac:dyDescent="0.3">
      <c r="B293">
        <v>118.03422264856636</v>
      </c>
      <c r="C293">
        <v>1280.4188170557609</v>
      </c>
      <c r="D293">
        <f t="shared" si="10"/>
        <v>13932.077716251335</v>
      </c>
      <c r="E293">
        <f t="shared" si="11"/>
        <v>151133.23973577362</v>
      </c>
    </row>
    <row r="294" spans="2:5" x14ac:dyDescent="0.3">
      <c r="B294">
        <v>118.06174623197876</v>
      </c>
      <c r="C294">
        <v>1282.1218458848307</v>
      </c>
      <c r="D294">
        <f t="shared" si="10"/>
        <v>13938.575923344151</v>
      </c>
      <c r="E294">
        <f t="shared" si="11"/>
        <v>151369.54400733107</v>
      </c>
    </row>
    <row r="295" spans="2:5" x14ac:dyDescent="0.3">
      <c r="B295">
        <v>118.17187467167969</v>
      </c>
      <c r="C295">
        <v>1285.447185888188</v>
      </c>
      <c r="D295">
        <f t="shared" si="10"/>
        <v>13964.591963419172</v>
      </c>
      <c r="E295">
        <f t="shared" si="11"/>
        <v>151903.70374784229</v>
      </c>
    </row>
    <row r="296" spans="2:5" x14ac:dyDescent="0.3">
      <c r="B296">
        <v>118.64004843810108</v>
      </c>
      <c r="C296">
        <v>1285.8075731637655</v>
      </c>
      <c r="D296">
        <f t="shared" si="10"/>
        <v>14075.46109339497</v>
      </c>
      <c r="E296">
        <f t="shared" si="11"/>
        <v>152548.27276222632</v>
      </c>
    </row>
    <row r="297" spans="2:5" x14ac:dyDescent="0.3">
      <c r="B297">
        <v>118.64004843810108</v>
      </c>
      <c r="C297">
        <v>1289.5080797316041</v>
      </c>
      <c r="D297">
        <f t="shared" si="10"/>
        <v>14075.46109339497</v>
      </c>
      <c r="E297">
        <f t="shared" si="11"/>
        <v>152987.30104068021</v>
      </c>
    </row>
    <row r="298" spans="2:5" x14ac:dyDescent="0.3">
      <c r="B298">
        <v>118.80737272585975</v>
      </c>
      <c r="C298">
        <v>1292.4531372627825</v>
      </c>
      <c r="D298">
        <f t="shared" si="10"/>
        <v>14115.191814021364</v>
      </c>
      <c r="E298">
        <f t="shared" si="11"/>
        <v>153552.96160948617</v>
      </c>
    </row>
    <row r="299" spans="2:5" x14ac:dyDescent="0.3">
      <c r="B299">
        <v>119.81527475436451</v>
      </c>
      <c r="C299">
        <v>1294.3613708339399</v>
      </c>
      <c r="D299">
        <f t="shared" si="10"/>
        <v>14355.700064463857</v>
      </c>
      <c r="E299">
        <f t="shared" si="11"/>
        <v>155084.26327790439</v>
      </c>
    </row>
    <row r="300" spans="2:5" x14ac:dyDescent="0.3">
      <c r="B300">
        <v>120.25415142270504</v>
      </c>
      <c r="C300">
        <v>1300.8449311892036</v>
      </c>
      <c r="D300">
        <f t="shared" si="10"/>
        <v>14461.060934394871</v>
      </c>
      <c r="E300">
        <f t="shared" si="11"/>
        <v>156432.00333268481</v>
      </c>
    </row>
    <row r="301" spans="2:5" x14ac:dyDescent="0.3">
      <c r="B301">
        <v>120.35513944065315</v>
      </c>
      <c r="C301">
        <v>1301.3497007486876</v>
      </c>
      <c r="D301">
        <f t="shared" si="10"/>
        <v>14485.359589779062</v>
      </c>
      <c r="E301">
        <f t="shared" si="11"/>
        <v>156624.12469466054</v>
      </c>
    </row>
    <row r="302" spans="2:5" x14ac:dyDescent="0.3">
      <c r="B302">
        <v>120.49981731033768</v>
      </c>
      <c r="C302">
        <v>1309.7864009760087</v>
      </c>
      <c r="D302">
        <f t="shared" si="10"/>
        <v>14520.205971824755</v>
      </c>
      <c r="E302">
        <f t="shared" si="11"/>
        <v>157829.02203317374</v>
      </c>
    </row>
    <row r="303" spans="2:5" x14ac:dyDescent="0.3">
      <c r="B303">
        <v>120.528841560008</v>
      </c>
      <c r="C303">
        <v>1310.2036316704471</v>
      </c>
      <c r="D303">
        <f t="shared" si="10"/>
        <v>14527.201647797512</v>
      </c>
      <c r="E303">
        <f t="shared" si="11"/>
        <v>157917.32593295441</v>
      </c>
    </row>
    <row r="304" spans="2:5" x14ac:dyDescent="0.3">
      <c r="B304">
        <v>120.69446054520085</v>
      </c>
      <c r="C304">
        <v>1314.5271421090001</v>
      </c>
      <c r="D304">
        <f t="shared" si="10"/>
        <v>14567.152806297046</v>
      </c>
      <c r="E304">
        <f t="shared" si="11"/>
        <v>158656.14428887036</v>
      </c>
    </row>
    <row r="305" spans="2:5" x14ac:dyDescent="0.3">
      <c r="B305">
        <v>121.12160473188851</v>
      </c>
      <c r="C305">
        <v>1315.9271955155418</v>
      </c>
      <c r="D305">
        <f t="shared" si="10"/>
        <v>14670.443132827837</v>
      </c>
      <c r="E305">
        <f t="shared" si="11"/>
        <v>159387.21363117604</v>
      </c>
    </row>
    <row r="306" spans="2:5" x14ac:dyDescent="0.3">
      <c r="B306">
        <v>121.31317842213321</v>
      </c>
      <c r="C306">
        <v>1317.51653750689</v>
      </c>
      <c r="D306">
        <f t="shared" si="10"/>
        <v>14716.887258880326</v>
      </c>
      <c r="E306">
        <f t="shared" si="11"/>
        <v>159832.11878868451</v>
      </c>
    </row>
    <row r="307" spans="2:5" x14ac:dyDescent="0.3">
      <c r="B307">
        <v>121.33681391569553</v>
      </c>
      <c r="C307">
        <v>1318.8745267834747</v>
      </c>
      <c r="D307">
        <f t="shared" si="10"/>
        <v>14722.622411212124</v>
      </c>
      <c r="E307">
        <f t="shared" si="11"/>
        <v>160028.03303447747</v>
      </c>
    </row>
    <row r="308" spans="2:5" x14ac:dyDescent="0.3">
      <c r="B308">
        <v>121.78844624722842</v>
      </c>
      <c r="C308">
        <v>1328.5913408035412</v>
      </c>
      <c r="D308">
        <f t="shared" si="10"/>
        <v>14832.425639314046</v>
      </c>
      <c r="E308">
        <f t="shared" si="11"/>
        <v>161807.07509398522</v>
      </c>
    </row>
    <row r="309" spans="2:5" x14ac:dyDescent="0.3">
      <c r="B309">
        <v>122.46626991109224</v>
      </c>
      <c r="C309">
        <v>1332.3987129988382</v>
      </c>
      <c r="D309">
        <f t="shared" si="10"/>
        <v>14997.987265936497</v>
      </c>
      <c r="E309">
        <f t="shared" si="11"/>
        <v>163173.90041530764</v>
      </c>
    </row>
    <row r="310" spans="2:5" x14ac:dyDescent="0.3">
      <c r="B310">
        <v>122.73754944326356</v>
      </c>
      <c r="C310">
        <v>1346.85058381001</v>
      </c>
      <c r="D310">
        <f t="shared" si="10"/>
        <v>15064.506043337567</v>
      </c>
      <c r="E310">
        <f t="shared" si="11"/>
        <v>165309.14012306949</v>
      </c>
    </row>
    <row r="311" spans="2:5" x14ac:dyDescent="0.3">
      <c r="B311">
        <v>122.77117800986161</v>
      </c>
      <c r="C311">
        <v>1350.6067969283322</v>
      </c>
      <c r="D311">
        <f t="shared" si="10"/>
        <v>15072.762149929127</v>
      </c>
      <c r="E311">
        <f t="shared" si="11"/>
        <v>165815.5874870173</v>
      </c>
    </row>
    <row r="312" spans="2:5" x14ac:dyDescent="0.3">
      <c r="B312">
        <v>122.89689291501418</v>
      </c>
      <c r="C312">
        <v>1352.1745384205133</v>
      </c>
      <c r="D312">
        <f t="shared" si="10"/>
        <v>15103.646288164462</v>
      </c>
      <c r="E312">
        <f t="shared" si="11"/>
        <v>166178.04945067453</v>
      </c>
    </row>
    <row r="313" spans="2:5" x14ac:dyDescent="0.3">
      <c r="B313">
        <v>122.9122406381066</v>
      </c>
      <c r="C313">
        <v>1353.1056336214533</v>
      </c>
      <c r="D313">
        <f t="shared" si="10"/>
        <v>15107.418898679822</v>
      </c>
      <c r="E313">
        <f t="shared" si="11"/>
        <v>166313.24524845777</v>
      </c>
    </row>
    <row r="314" spans="2:5" x14ac:dyDescent="0.3">
      <c r="B314">
        <v>123.14641278644558</v>
      </c>
      <c r="C314">
        <v>1356.3525297067827</v>
      </c>
      <c r="D314">
        <f t="shared" si="10"/>
        <v>15165.038982169648</v>
      </c>
      <c r="E314">
        <f t="shared" si="11"/>
        <v>167029.94850721114</v>
      </c>
    </row>
    <row r="315" spans="2:5" x14ac:dyDescent="0.3">
      <c r="B315">
        <v>123.67546585446689</v>
      </c>
      <c r="C315">
        <v>1357.9816620913334</v>
      </c>
      <c r="D315">
        <f t="shared" si="10"/>
        <v>15295.620854319406</v>
      </c>
      <c r="E315">
        <f t="shared" si="11"/>
        <v>167949.01468096892</v>
      </c>
    </row>
    <row r="316" spans="2:5" x14ac:dyDescent="0.3">
      <c r="B316">
        <v>123.87021140748402</v>
      </c>
      <c r="C316">
        <v>1358.0316842999309</v>
      </c>
      <c r="D316">
        <f t="shared" si="10"/>
        <v>15343.829274134785</v>
      </c>
      <c r="E316">
        <f t="shared" si="11"/>
        <v>168219.67183229403</v>
      </c>
    </row>
    <row r="317" spans="2:5" x14ac:dyDescent="0.3">
      <c r="B317">
        <v>123.92382612015354</v>
      </c>
      <c r="C317">
        <v>1359.515297532198</v>
      </c>
      <c r="D317">
        <f t="shared" si="10"/>
        <v>15357.114680258048</v>
      </c>
      <c r="E317">
        <f t="shared" si="11"/>
        <v>168476.33733906891</v>
      </c>
    </row>
    <row r="318" spans="2:5" x14ac:dyDescent="0.3">
      <c r="B318">
        <v>124.15793005638989</v>
      </c>
      <c r="C318">
        <v>1361.9470589910634</v>
      </c>
      <c r="D318">
        <f t="shared" si="10"/>
        <v>15415.191595887403</v>
      </c>
      <c r="E318">
        <f t="shared" si="11"/>
        <v>169096.52769071836</v>
      </c>
    </row>
    <row r="319" spans="2:5" x14ac:dyDescent="0.3">
      <c r="B319">
        <v>124.18016720184823</v>
      </c>
      <c r="C319">
        <v>1363.8388079707511</v>
      </c>
      <c r="D319">
        <f t="shared" si="10"/>
        <v>15420.713926278984</v>
      </c>
      <c r="E319">
        <f t="shared" si="11"/>
        <v>169361.73121017727</v>
      </c>
    </row>
    <row r="320" spans="2:5" x14ac:dyDescent="0.3">
      <c r="B320">
        <v>124.1865109273931</v>
      </c>
      <c r="C320">
        <v>1364.4868229457643</v>
      </c>
      <c r="D320">
        <f t="shared" si="10"/>
        <v>15422.289496319527</v>
      </c>
      <c r="E320">
        <f t="shared" si="11"/>
        <v>169450.85774803805</v>
      </c>
    </row>
    <row r="321" spans="2:5" x14ac:dyDescent="0.3">
      <c r="B321">
        <v>124.44789970468264</v>
      </c>
      <c r="C321">
        <v>1376.2625055969693</v>
      </c>
      <c r="D321">
        <f t="shared" si="10"/>
        <v>15487.27974090675</v>
      </c>
      <c r="E321">
        <f t="shared" si="11"/>
        <v>171272.97826384686</v>
      </c>
    </row>
    <row r="322" spans="2:5" x14ac:dyDescent="0.3">
      <c r="B322">
        <v>124.486303118465</v>
      </c>
      <c r="C322">
        <v>1380.7451776083326</v>
      </c>
      <c r="D322">
        <f t="shared" si="10"/>
        <v>15496.83966410235</v>
      </c>
      <c r="E322">
        <f t="shared" si="11"/>
        <v>171883.8627091097</v>
      </c>
    </row>
    <row r="323" spans="2:5" x14ac:dyDescent="0.3">
      <c r="B323">
        <v>124.7304342337884</v>
      </c>
      <c r="C323">
        <v>1384.8469987133285</v>
      </c>
      <c r="D323">
        <f t="shared" si="10"/>
        <v>15557.681224149414</v>
      </c>
      <c r="E323">
        <f t="shared" si="11"/>
        <v>172732.56749687207</v>
      </c>
    </row>
    <row r="324" spans="2:5" x14ac:dyDescent="0.3">
      <c r="B324">
        <v>124.93084139132407</v>
      </c>
      <c r="C324">
        <v>1389.5968347933376</v>
      </c>
      <c r="D324">
        <f t="shared" si="10"/>
        <v>15607.715130744171</v>
      </c>
      <c r="E324">
        <f t="shared" si="11"/>
        <v>173603.50176545241</v>
      </c>
    </row>
    <row r="325" spans="2:5" x14ac:dyDescent="0.3">
      <c r="B325">
        <v>125.03472842363408</v>
      </c>
      <c r="C325">
        <v>1390.4267487087054</v>
      </c>
      <c r="D325">
        <f t="shared" si="10"/>
        <v>15633.683311971929</v>
      </c>
      <c r="E325">
        <f t="shared" si="11"/>
        <v>173851.63091774948</v>
      </c>
    </row>
    <row r="326" spans="2:5" x14ac:dyDescent="0.3">
      <c r="B326">
        <v>125.05423708498711</v>
      </c>
      <c r="C326">
        <v>1395.8450633945176</v>
      </c>
      <c r="D326">
        <f t="shared" si="10"/>
        <v>15638.562212908164</v>
      </c>
      <c r="E326">
        <f t="shared" si="11"/>
        <v>174556.33949164688</v>
      </c>
    </row>
    <row r="327" spans="2:5" x14ac:dyDescent="0.3">
      <c r="B327">
        <v>125.14216248528101</v>
      </c>
      <c r="C327">
        <v>1397.6265361416154</v>
      </c>
      <c r="D327">
        <f t="shared" si="10"/>
        <v>15660.560831492472</v>
      </c>
      <c r="E327">
        <f t="shared" si="11"/>
        <v>174902.00707957448</v>
      </c>
    </row>
    <row r="328" spans="2:5" x14ac:dyDescent="0.3">
      <c r="B328">
        <v>125.66773673606804</v>
      </c>
      <c r="C328">
        <v>1398.8873231719481</v>
      </c>
      <c r="D328">
        <f t="shared" ref="D328:D391" si="12">B328*B328</f>
        <v>15792.380056365704</v>
      </c>
      <c r="E328">
        <f t="shared" ref="E328:E391" si="13">B328*C328</f>
        <v>175795.00385179531</v>
      </c>
    </row>
    <row r="329" spans="2:5" x14ac:dyDescent="0.3">
      <c r="B329">
        <v>125.72735411376925</v>
      </c>
      <c r="C329">
        <v>1400.6255949207116</v>
      </c>
      <c r="D329">
        <f t="shared" si="12"/>
        <v>15807.36757244913</v>
      </c>
      <c r="E329">
        <f t="shared" si="13"/>
        <v>176096.95015340502</v>
      </c>
    </row>
    <row r="330" spans="2:5" x14ac:dyDescent="0.3">
      <c r="B330">
        <v>125.9869011642877</v>
      </c>
      <c r="C330">
        <v>1403.8497536384966</v>
      </c>
      <c r="D330">
        <f t="shared" si="12"/>
        <v>15872.699264979998</v>
      </c>
      <c r="E330">
        <f t="shared" si="13"/>
        <v>176866.68016116292</v>
      </c>
    </row>
    <row r="331" spans="2:5" x14ac:dyDescent="0.3">
      <c r="B331">
        <v>125.99692834337475</v>
      </c>
      <c r="C331">
        <v>1405.282207793789</v>
      </c>
      <c r="D331">
        <f t="shared" si="12"/>
        <v>15875.225951965511</v>
      </c>
      <c r="E331">
        <f t="shared" si="13"/>
        <v>177061.24163761348</v>
      </c>
    </row>
    <row r="332" spans="2:5" x14ac:dyDescent="0.3">
      <c r="B332">
        <v>126.51186150615104</v>
      </c>
      <c r="C332">
        <v>1412.2819063923089</v>
      </c>
      <c r="D332">
        <f t="shared" si="12"/>
        <v>16005.251101751541</v>
      </c>
      <c r="E332">
        <f t="shared" si="13"/>
        <v>178670.41294914673</v>
      </c>
    </row>
    <row r="333" spans="2:5" x14ac:dyDescent="0.3">
      <c r="B333">
        <v>126.71254151209723</v>
      </c>
      <c r="C333">
        <v>1420.5048753647134</v>
      </c>
      <c r="D333">
        <f t="shared" si="12"/>
        <v>16056.068176454964</v>
      </c>
      <c r="E333">
        <f t="shared" si="13"/>
        <v>179995.78298778774</v>
      </c>
    </row>
    <row r="334" spans="2:5" x14ac:dyDescent="0.3">
      <c r="B334">
        <v>126.85953859327128</v>
      </c>
      <c r="C334">
        <v>1435.1778670752537</v>
      </c>
      <c r="D334">
        <f t="shared" si="12"/>
        <v>16093.342532097686</v>
      </c>
      <c r="E334">
        <f t="shared" si="13"/>
        <v>182066.00201644193</v>
      </c>
    </row>
    <row r="335" spans="2:5" x14ac:dyDescent="0.3">
      <c r="B335">
        <v>127.43674940575147</v>
      </c>
      <c r="C335">
        <v>1446.0628133529099</v>
      </c>
      <c r="D335">
        <f t="shared" si="12"/>
        <v>16240.125099104298</v>
      </c>
      <c r="E335">
        <f t="shared" si="13"/>
        <v>184281.54437023072</v>
      </c>
    </row>
    <row r="336" spans="2:5" x14ac:dyDescent="0.3">
      <c r="B336">
        <v>128.44240043486934</v>
      </c>
      <c r="C336">
        <v>1459.8416580847697</v>
      </c>
      <c r="D336">
        <f t="shared" si="12"/>
        <v>16497.450229471324</v>
      </c>
      <c r="E336">
        <f t="shared" si="13"/>
        <v>187505.56681922762</v>
      </c>
    </row>
    <row r="337" spans="2:5" x14ac:dyDescent="0.3">
      <c r="B337">
        <v>128.56490937119815</v>
      </c>
      <c r="C337">
        <v>1463.2977379515069</v>
      </c>
      <c r="D337">
        <f t="shared" si="12"/>
        <v>16528.935921624394</v>
      </c>
      <c r="E337">
        <f t="shared" si="13"/>
        <v>188128.74106281475</v>
      </c>
    </row>
    <row r="338" spans="2:5" x14ac:dyDescent="0.3">
      <c r="B338">
        <v>129.1370724880835</v>
      </c>
      <c r="C338">
        <v>1466.6571840061806</v>
      </c>
      <c r="D338">
        <f t="shared" si="12"/>
        <v>16676.383490792534</v>
      </c>
      <c r="E338">
        <f t="shared" si="13"/>
        <v>189399.81508617458</v>
      </c>
    </row>
    <row r="339" spans="2:5" x14ac:dyDescent="0.3">
      <c r="B339">
        <v>129.27718014689162</v>
      </c>
      <c r="C339">
        <v>1467.5450782087864</v>
      </c>
      <c r="D339">
        <f t="shared" si="12"/>
        <v>16712.589306731868</v>
      </c>
      <c r="E339">
        <f t="shared" si="13"/>
        <v>189720.08944928146</v>
      </c>
    </row>
    <row r="340" spans="2:5" x14ac:dyDescent="0.3">
      <c r="B340">
        <v>129.53318016807316</v>
      </c>
      <c r="C340">
        <v>1469.383394374745</v>
      </c>
      <c r="D340">
        <f t="shared" si="12"/>
        <v>16778.844764454501</v>
      </c>
      <c r="E340">
        <f t="shared" si="13"/>
        <v>190333.90395951874</v>
      </c>
    </row>
    <row r="341" spans="2:5" x14ac:dyDescent="0.3">
      <c r="B341">
        <v>129.62642611237243</v>
      </c>
      <c r="C341">
        <v>1472.1846380562056</v>
      </c>
      <c r="D341">
        <f t="shared" si="12"/>
        <v>16803.01034666635</v>
      </c>
      <c r="E341">
        <f t="shared" si="13"/>
        <v>190834.03320876247</v>
      </c>
    </row>
    <row r="342" spans="2:5" x14ac:dyDescent="0.3">
      <c r="B342">
        <v>129.91182554978877</v>
      </c>
      <c r="C342">
        <v>1478.5556484421249</v>
      </c>
      <c r="D342">
        <f t="shared" si="12"/>
        <v>16877.08241767875</v>
      </c>
      <c r="E342">
        <f t="shared" si="13"/>
        <v>192081.86346606814</v>
      </c>
    </row>
    <row r="343" spans="2:5" x14ac:dyDescent="0.3">
      <c r="B343">
        <v>129.96468992932932</v>
      </c>
      <c r="C343">
        <v>1479.7061592398677</v>
      </c>
      <c r="D343">
        <f t="shared" si="12"/>
        <v>16890.820628426714</v>
      </c>
      <c r="E343">
        <f t="shared" si="13"/>
        <v>192309.5521721282</v>
      </c>
    </row>
    <row r="344" spans="2:5" x14ac:dyDescent="0.3">
      <c r="B344">
        <v>131.01870333921397</v>
      </c>
      <c r="C344">
        <v>1484.3320766667603</v>
      </c>
      <c r="D344">
        <f t="shared" si="12"/>
        <v>17165.900624688958</v>
      </c>
      <c r="E344">
        <f t="shared" si="13"/>
        <v>194475.26400968168</v>
      </c>
    </row>
    <row r="345" spans="2:5" x14ac:dyDescent="0.3">
      <c r="B345">
        <v>131.08930286543909</v>
      </c>
      <c r="C345">
        <v>1488.6305760010146</v>
      </c>
      <c r="D345">
        <f t="shared" si="12"/>
        <v>17184.405325746819</v>
      </c>
      <c r="E345">
        <f t="shared" si="13"/>
        <v>195143.54443215005</v>
      </c>
    </row>
    <row r="346" spans="2:5" x14ac:dyDescent="0.3">
      <c r="B346">
        <v>131.46467406622833</v>
      </c>
      <c r="C346">
        <v>1490.3597528027603</v>
      </c>
      <c r="D346">
        <f t="shared" si="12"/>
        <v>17282.960527339648</v>
      </c>
      <c r="E346">
        <f t="shared" si="13"/>
        <v>195929.6591436395</v>
      </c>
    </row>
    <row r="347" spans="2:5" x14ac:dyDescent="0.3">
      <c r="B347">
        <v>131.75252913933946</v>
      </c>
      <c r="C347">
        <v>1500.3573733119993</v>
      </c>
      <c r="D347">
        <f t="shared" si="12"/>
        <v>17358.728934612493</v>
      </c>
      <c r="E347">
        <f t="shared" si="13"/>
        <v>197675.87854671199</v>
      </c>
    </row>
    <row r="348" spans="2:5" x14ac:dyDescent="0.3">
      <c r="B348">
        <v>131.86528374499176</v>
      </c>
      <c r="C348">
        <v>1509.528490511002</v>
      </c>
      <c r="D348">
        <f t="shared" si="12"/>
        <v>17388.453057147188</v>
      </c>
      <c r="E348">
        <f t="shared" si="13"/>
        <v>199054.40272238237</v>
      </c>
    </row>
    <row r="349" spans="2:5" x14ac:dyDescent="0.3">
      <c r="B349">
        <v>131.91371433786117</v>
      </c>
      <c r="C349">
        <v>1513.8554115546867</v>
      </c>
      <c r="D349">
        <f t="shared" si="12"/>
        <v>17401.228030410839</v>
      </c>
      <c r="E349">
        <f t="shared" si="13"/>
        <v>199698.2903086502</v>
      </c>
    </row>
    <row r="350" spans="2:5" x14ac:dyDescent="0.3">
      <c r="B350">
        <v>132.50593181292061</v>
      </c>
      <c r="C350">
        <v>1514.114617544692</v>
      </c>
      <c r="D350">
        <f t="shared" si="12"/>
        <v>17557.821965610365</v>
      </c>
      <c r="E350">
        <f t="shared" si="13"/>
        <v>200629.16826932333</v>
      </c>
    </row>
    <row r="351" spans="2:5" x14ac:dyDescent="0.3">
      <c r="B351">
        <v>132.69228727731388</v>
      </c>
      <c r="C351">
        <v>1528.9416549203452</v>
      </c>
      <c r="D351">
        <f t="shared" si="12"/>
        <v>17607.243102885193</v>
      </c>
      <c r="E351">
        <f t="shared" si="13"/>
        <v>202878.76530494215</v>
      </c>
    </row>
    <row r="352" spans="2:5" x14ac:dyDescent="0.3">
      <c r="B352">
        <v>132.8632268065121</v>
      </c>
      <c r="C352">
        <v>1531.6940132615855</v>
      </c>
      <c r="D352">
        <f t="shared" si="12"/>
        <v>17652.637037438675</v>
      </c>
      <c r="E352">
        <f t="shared" si="13"/>
        <v>203505.80908215078</v>
      </c>
    </row>
    <row r="353" spans="2:5" x14ac:dyDescent="0.3">
      <c r="B353">
        <v>133.16172296763398</v>
      </c>
      <c r="C353">
        <v>1531.828163730097</v>
      </c>
      <c r="D353">
        <f t="shared" si="12"/>
        <v>17732.044463708899</v>
      </c>
      <c r="E353">
        <f t="shared" si="13"/>
        <v>203980.87757264663</v>
      </c>
    </row>
    <row r="354" spans="2:5" x14ac:dyDescent="0.3">
      <c r="B354">
        <v>133.31438165332656</v>
      </c>
      <c r="C354">
        <v>1534.5975750969956</v>
      </c>
      <c r="D354">
        <f t="shared" si="12"/>
        <v>17772.724355608814</v>
      </c>
      <c r="E354">
        <f t="shared" si="13"/>
        <v>204583.92681075033</v>
      </c>
    </row>
    <row r="355" spans="2:5" x14ac:dyDescent="0.3">
      <c r="B355">
        <v>134.42999059188878</v>
      </c>
      <c r="C355">
        <v>1545.9116891870508</v>
      </c>
      <c r="D355">
        <f t="shared" si="12"/>
        <v>18071.422370535307</v>
      </c>
      <c r="E355">
        <f t="shared" si="13"/>
        <v>207816.89383330612</v>
      </c>
    </row>
    <row r="356" spans="2:5" x14ac:dyDescent="0.3">
      <c r="B356">
        <v>135.15385742502986</v>
      </c>
      <c r="C356">
        <v>1556.4459115703357</v>
      </c>
      <c r="D356">
        <f t="shared" si="12"/>
        <v>18266.565176865297</v>
      </c>
      <c r="E356">
        <f t="shared" si="13"/>
        <v>210359.6688221478</v>
      </c>
    </row>
    <row r="357" spans="2:5" x14ac:dyDescent="0.3">
      <c r="B357">
        <v>135.41967998899054</v>
      </c>
      <c r="C357">
        <v>1557.5839168159291</v>
      </c>
      <c r="D357">
        <f t="shared" si="12"/>
        <v>18338.489728320605</v>
      </c>
      <c r="E357">
        <f t="shared" si="13"/>
        <v>210927.51557121158</v>
      </c>
    </row>
    <row r="358" spans="2:5" x14ac:dyDescent="0.3">
      <c r="B358">
        <v>135.48427685018396</v>
      </c>
      <c r="C358">
        <v>1571.1081030312926</v>
      </c>
      <c r="D358">
        <f t="shared" si="12"/>
        <v>18355.989273617295</v>
      </c>
      <c r="E358">
        <f t="shared" si="13"/>
        <v>212860.44519265898</v>
      </c>
    </row>
    <row r="359" spans="2:5" x14ac:dyDescent="0.3">
      <c r="B359">
        <v>135.66510713426396</v>
      </c>
      <c r="C359">
        <v>1580.0859526061686</v>
      </c>
      <c r="D359">
        <f t="shared" si="12"/>
        <v>18405.021293751317</v>
      </c>
      <c r="E359">
        <f t="shared" si="13"/>
        <v>214362.53004166138</v>
      </c>
    </row>
    <row r="360" spans="2:5" x14ac:dyDescent="0.3">
      <c r="B360">
        <v>135.73495632736012</v>
      </c>
      <c r="C360">
        <v>1585.9737939317711</v>
      </c>
      <c r="D360">
        <f t="shared" si="12"/>
        <v>18423.978369190361</v>
      </c>
      <c r="E360">
        <f t="shared" si="13"/>
        <v>215272.08365566659</v>
      </c>
    </row>
    <row r="361" spans="2:5" x14ac:dyDescent="0.3">
      <c r="B361">
        <v>136.02588094508974</v>
      </c>
      <c r="C361">
        <v>1590.1745225855848</v>
      </c>
      <c r="D361">
        <f t="shared" si="12"/>
        <v>18503.040286887728</v>
      </c>
      <c r="E361">
        <f t="shared" si="13"/>
        <v>216304.89029114167</v>
      </c>
    </row>
    <row r="362" spans="2:5" x14ac:dyDescent="0.3">
      <c r="B362">
        <v>136.55056843854254</v>
      </c>
      <c r="C362">
        <v>1601.2976427882677</v>
      </c>
      <c r="D362">
        <f t="shared" si="12"/>
        <v>18646.057740889089</v>
      </c>
      <c r="E362">
        <f t="shared" si="13"/>
        <v>218658.1033620362</v>
      </c>
    </row>
    <row r="363" spans="2:5" x14ac:dyDescent="0.3">
      <c r="B363">
        <v>136.59879439510405</v>
      </c>
      <c r="C363">
        <v>1606.1350177333225</v>
      </c>
      <c r="D363">
        <f t="shared" si="12"/>
        <v>18659.230630195911</v>
      </c>
      <c r="E363">
        <f t="shared" si="13"/>
        <v>219396.1070581309</v>
      </c>
    </row>
    <row r="364" spans="2:5" x14ac:dyDescent="0.3">
      <c r="B364">
        <v>136.69074430945329</v>
      </c>
      <c r="C364">
        <v>1611.0280992288608</v>
      </c>
      <c r="D364">
        <f t="shared" si="12"/>
        <v>18684.359579872336</v>
      </c>
      <c r="E364">
        <f t="shared" si="13"/>
        <v>220212.62998703675</v>
      </c>
    </row>
    <row r="365" spans="2:5" x14ac:dyDescent="0.3">
      <c r="B365">
        <v>137.44905825442402</v>
      </c>
      <c r="C365">
        <v>1632.9173629637808</v>
      </c>
      <c r="D365">
        <f t="shared" si="12"/>
        <v>18892.243615028048</v>
      </c>
      <c r="E365">
        <f t="shared" si="13"/>
        <v>224442.95374666914</v>
      </c>
    </row>
    <row r="366" spans="2:5" x14ac:dyDescent="0.3">
      <c r="B366">
        <v>137.76126504817512</v>
      </c>
      <c r="C366">
        <v>1657.995542496792</v>
      </c>
      <c r="D366">
        <f t="shared" si="12"/>
        <v>18978.166147673557</v>
      </c>
      <c r="E366">
        <f t="shared" si="13"/>
        <v>228407.56337859345</v>
      </c>
    </row>
    <row r="367" spans="2:5" x14ac:dyDescent="0.3">
      <c r="B367">
        <v>138.57053343381267</v>
      </c>
      <c r="C367">
        <v>1690.561137162149</v>
      </c>
      <c r="D367">
        <f t="shared" si="12"/>
        <v>19201.792736131396</v>
      </c>
      <c r="E367">
        <f t="shared" si="13"/>
        <v>234261.95857903193</v>
      </c>
    </row>
    <row r="368" spans="2:5" x14ac:dyDescent="0.3">
      <c r="B368">
        <v>138.7706677429378</v>
      </c>
      <c r="C368">
        <v>1695.7611731195357</v>
      </c>
      <c r="D368">
        <f t="shared" si="12"/>
        <v>19257.298225820839</v>
      </c>
      <c r="E368">
        <f t="shared" si="13"/>
        <v>235321.9103263455</v>
      </c>
    </row>
    <row r="369" spans="2:5" x14ac:dyDescent="0.3">
      <c r="B369">
        <v>138.96193447872065</v>
      </c>
      <c r="C369">
        <v>1698.1861133681377</v>
      </c>
      <c r="D369">
        <f t="shared" si="12"/>
        <v>19310.419234068249</v>
      </c>
      <c r="E369">
        <f t="shared" si="13"/>
        <v>235983.22741853644</v>
      </c>
    </row>
    <row r="370" spans="2:5" x14ac:dyDescent="0.3">
      <c r="B370">
        <v>139.23014446627349</v>
      </c>
      <c r="C370">
        <v>1708.5782272042707</v>
      </c>
      <c r="D370">
        <f t="shared" si="12"/>
        <v>19385.033128099385</v>
      </c>
      <c r="E370">
        <f t="shared" si="13"/>
        <v>237885.59340558006</v>
      </c>
    </row>
    <row r="371" spans="2:5" x14ac:dyDescent="0.3">
      <c r="B371">
        <v>140.57515070599038</v>
      </c>
      <c r="C371">
        <v>1711.1975719453767</v>
      </c>
      <c r="D371">
        <f t="shared" si="12"/>
        <v>19761.372996011909</v>
      </c>
      <c r="E371">
        <f t="shared" si="13"/>
        <v>240551.85656394614</v>
      </c>
    </row>
    <row r="372" spans="2:5" x14ac:dyDescent="0.3">
      <c r="B372">
        <v>140.64977474627085</v>
      </c>
      <c r="C372">
        <v>1715.7495929277502</v>
      </c>
      <c r="D372">
        <f t="shared" si="12"/>
        <v>19782.359136176728</v>
      </c>
      <c r="E372">
        <f t="shared" si="13"/>
        <v>241319.79376629397</v>
      </c>
    </row>
    <row r="373" spans="2:5" x14ac:dyDescent="0.3">
      <c r="B373">
        <v>140.80543476447929</v>
      </c>
      <c r="C373">
        <v>1717.4594429670833</v>
      </c>
      <c r="D373">
        <f t="shared" si="12"/>
        <v>19826.17045921403</v>
      </c>
      <c r="E373">
        <f t="shared" si="13"/>
        <v>241827.62355734059</v>
      </c>
    </row>
    <row r="374" spans="2:5" x14ac:dyDescent="0.3">
      <c r="B374">
        <v>141.04990694031585</v>
      </c>
      <c r="C374">
        <v>1723.5075827338733</v>
      </c>
      <c r="D374">
        <f t="shared" si="12"/>
        <v>19895.076247871762</v>
      </c>
      <c r="E374">
        <f t="shared" si="13"/>
        <v>243100.58415554155</v>
      </c>
    </row>
    <row r="375" spans="2:5" x14ac:dyDescent="0.3">
      <c r="B375">
        <v>141.79403276793892</v>
      </c>
      <c r="C375">
        <v>1743.8211468979716</v>
      </c>
      <c r="D375">
        <f t="shared" si="12"/>
        <v>20105.547728595335</v>
      </c>
      <c r="E375">
        <f t="shared" si="13"/>
        <v>247263.43284467582</v>
      </c>
    </row>
    <row r="376" spans="2:5" x14ac:dyDescent="0.3">
      <c r="B376">
        <v>144.2171312897699</v>
      </c>
      <c r="C376">
        <v>1746.9589036190882</v>
      </c>
      <c r="D376">
        <f t="shared" si="12"/>
        <v>20798.580957450726</v>
      </c>
      <c r="E376">
        <f t="shared" si="13"/>
        <v>251941.40156106651</v>
      </c>
    </row>
    <row r="377" spans="2:5" x14ac:dyDescent="0.3">
      <c r="B377">
        <v>144.51862878340762</v>
      </c>
      <c r="C377">
        <v>1765.8150025235955</v>
      </c>
      <c r="D377">
        <f t="shared" si="12"/>
        <v>20885.634065436374</v>
      </c>
      <c r="E377">
        <f t="shared" si="13"/>
        <v>255193.16284987947</v>
      </c>
    </row>
    <row r="378" spans="2:5" x14ac:dyDescent="0.3">
      <c r="B378">
        <v>144.88069862418342</v>
      </c>
      <c r="C378">
        <v>1781.1263458279427</v>
      </c>
      <c r="D378">
        <f t="shared" si="12"/>
        <v>20990.416833831463</v>
      </c>
      <c r="E378">
        <f t="shared" si="13"/>
        <v>258050.82932149127</v>
      </c>
    </row>
    <row r="379" spans="2:5" x14ac:dyDescent="0.3">
      <c r="B379">
        <v>145.02885531110223</v>
      </c>
      <c r="C379">
        <v>1786.7470230848994</v>
      </c>
      <c r="D379">
        <f t="shared" si="12"/>
        <v>21033.368872848627</v>
      </c>
      <c r="E379">
        <f t="shared" si="13"/>
        <v>259129.87548852252</v>
      </c>
    </row>
    <row r="380" spans="2:5" x14ac:dyDescent="0.3">
      <c r="B380">
        <v>145.91179276758339</v>
      </c>
      <c r="C380">
        <v>1788.4682418080047</v>
      </c>
      <c r="D380">
        <f t="shared" si="12"/>
        <v>21290.251268650201</v>
      </c>
      <c r="E380">
        <f t="shared" si="13"/>
        <v>260958.60747009379</v>
      </c>
    </row>
    <row r="381" spans="2:5" x14ac:dyDescent="0.3">
      <c r="B381">
        <v>146.09023562807124</v>
      </c>
      <c r="C381">
        <v>1790.8624866104219</v>
      </c>
      <c r="D381">
        <f t="shared" si="12"/>
        <v>21342.356945865376</v>
      </c>
      <c r="E381">
        <f t="shared" si="13"/>
        <v>261627.52264639011</v>
      </c>
    </row>
    <row r="382" spans="2:5" x14ac:dyDescent="0.3">
      <c r="B382">
        <v>146.33839125744998</v>
      </c>
      <c r="C382">
        <v>1791.799266153248</v>
      </c>
      <c r="D382">
        <f t="shared" si="12"/>
        <v>21414.924755818512</v>
      </c>
      <c r="E382">
        <f t="shared" si="13"/>
        <v>262209.02206514578</v>
      </c>
    </row>
    <row r="383" spans="2:5" x14ac:dyDescent="0.3">
      <c r="B383">
        <v>149.3932020617649</v>
      </c>
      <c r="C383">
        <v>1798.5727279447019</v>
      </c>
      <c r="D383">
        <f t="shared" si="12"/>
        <v>22318.328822267315</v>
      </c>
      <c r="E383">
        <f t="shared" si="13"/>
        <v>268694.53896862257</v>
      </c>
    </row>
    <row r="384" spans="2:5" x14ac:dyDescent="0.3">
      <c r="B384">
        <v>149.85281520930585</v>
      </c>
      <c r="C384">
        <v>1800.4963092389517</v>
      </c>
      <c r="D384">
        <f t="shared" si="12"/>
        <v>22455.866226154365</v>
      </c>
      <c r="E384">
        <f t="shared" si="13"/>
        <v>269809.44071342179</v>
      </c>
    </row>
    <row r="385" spans="2:5" x14ac:dyDescent="0.3">
      <c r="B385">
        <v>150.58882379671559</v>
      </c>
      <c r="C385">
        <v>1811.7194738588296</v>
      </c>
      <c r="D385">
        <f t="shared" si="12"/>
        <v>22676.993852478256</v>
      </c>
      <c r="E385">
        <f t="shared" si="13"/>
        <v>272824.70461800555</v>
      </c>
    </row>
    <row r="386" spans="2:5" x14ac:dyDescent="0.3">
      <c r="B386">
        <v>150.70342012913898</v>
      </c>
      <c r="C386">
        <v>1811.7194738588296</v>
      </c>
      <c r="D386">
        <f t="shared" si="12"/>
        <v>22711.52083861977</v>
      </c>
      <c r="E386">
        <f t="shared" si="13"/>
        <v>273032.32102508983</v>
      </c>
    </row>
    <row r="387" spans="2:5" x14ac:dyDescent="0.3">
      <c r="B387">
        <v>150.75130502518732</v>
      </c>
      <c r="C387">
        <v>1813.7271834129933</v>
      </c>
      <c r="D387">
        <f t="shared" si="12"/>
        <v>22725.955966797068</v>
      </c>
      <c r="E387">
        <f t="shared" si="13"/>
        <v>273421.73985916603</v>
      </c>
    </row>
    <row r="388" spans="2:5" x14ac:dyDescent="0.3">
      <c r="B388">
        <v>151.03192961541936</v>
      </c>
      <c r="C388">
        <v>1835.0161806447431</v>
      </c>
      <c r="D388">
        <f t="shared" si="12"/>
        <v>22810.643763356988</v>
      </c>
      <c r="E388">
        <f t="shared" si="13"/>
        <v>277146.03463829251</v>
      </c>
    </row>
    <row r="389" spans="2:5" x14ac:dyDescent="0.3">
      <c r="B389">
        <v>151.06112439534627</v>
      </c>
      <c r="C389">
        <v>1851.9987204635981</v>
      </c>
      <c r="D389">
        <f t="shared" si="12"/>
        <v>22819.463303586279</v>
      </c>
      <c r="E389">
        <f t="shared" si="13"/>
        <v>279765.00909197371</v>
      </c>
    </row>
    <row r="390" spans="2:5" x14ac:dyDescent="0.3">
      <c r="B390">
        <v>152.49603418633342</v>
      </c>
      <c r="C390">
        <v>1853.4721018804703</v>
      </c>
      <c r="D390">
        <f t="shared" si="12"/>
        <v>23255.04044255937</v>
      </c>
      <c r="E390">
        <f t="shared" si="13"/>
        <v>282647.14501177944</v>
      </c>
    </row>
    <row r="391" spans="2:5" x14ac:dyDescent="0.3">
      <c r="B391">
        <v>153.5687377123395</v>
      </c>
      <c r="C391">
        <v>1856.4438758185133</v>
      </c>
      <c r="D391">
        <f t="shared" si="12"/>
        <v>23583.357202561325</v>
      </c>
      <c r="E391">
        <f t="shared" si="13"/>
        <v>285091.74264325225</v>
      </c>
    </row>
    <row r="392" spans="2:5" x14ac:dyDescent="0.3">
      <c r="B392">
        <v>153.71621227823198</v>
      </c>
      <c r="C392">
        <v>1882.4576980259735</v>
      </c>
      <c r="D392">
        <f t="shared" ref="D392:D406" si="14">B392*B392</f>
        <v>23628.673917166474</v>
      </c>
      <c r="E392">
        <f t="shared" ref="E392:E406" si="15">B392*C392</f>
        <v>289364.26711455244</v>
      </c>
    </row>
    <row r="393" spans="2:5" x14ac:dyDescent="0.3">
      <c r="B393">
        <v>154.52220648294315</v>
      </c>
      <c r="C393">
        <v>1904.3492354976479</v>
      </c>
      <c r="D393">
        <f t="shared" si="14"/>
        <v>23877.112296357318</v>
      </c>
      <c r="E393">
        <f t="shared" si="15"/>
        <v>294264.24578320247</v>
      </c>
    </row>
    <row r="394" spans="2:5" x14ac:dyDescent="0.3">
      <c r="B394">
        <v>155.40732672670856</v>
      </c>
      <c r="C394">
        <v>1923.0325304088183</v>
      </c>
      <c r="D394">
        <f t="shared" si="14"/>
        <v>24151.437200341945</v>
      </c>
      <c r="E394">
        <f t="shared" si="15"/>
        <v>298853.34475933237</v>
      </c>
    </row>
    <row r="395" spans="2:5" x14ac:dyDescent="0.3">
      <c r="B395">
        <v>156.26325219054706</v>
      </c>
      <c r="C395">
        <v>1923.4554454451427</v>
      </c>
      <c r="D395">
        <f t="shared" si="14"/>
        <v>24418.20398516651</v>
      </c>
      <c r="E395">
        <f t="shared" si="15"/>
        <v>300565.40334887535</v>
      </c>
    </row>
    <row r="396" spans="2:5" x14ac:dyDescent="0.3">
      <c r="B396">
        <v>156.31673047901131</v>
      </c>
      <c r="C396">
        <v>2041.5988072054461</v>
      </c>
      <c r="D396">
        <f t="shared" si="14"/>
        <v>24434.920227647865</v>
      </c>
      <c r="E396">
        <f t="shared" si="15"/>
        <v>319136.05049220467</v>
      </c>
    </row>
    <row r="397" spans="2:5" x14ac:dyDescent="0.3">
      <c r="B397">
        <v>157.26678864448331</v>
      </c>
      <c r="C397">
        <v>2051.8670023884624</v>
      </c>
      <c r="D397">
        <f t="shared" si="14"/>
        <v>24732.842810548587</v>
      </c>
      <c r="E397">
        <f t="shared" si="15"/>
        <v>322690.53419121588</v>
      </c>
    </row>
    <row r="398" spans="2:5" x14ac:dyDescent="0.3">
      <c r="B398">
        <v>158.03758540423587</v>
      </c>
      <c r="C398">
        <v>2057.8878573141992</v>
      </c>
      <c r="D398">
        <f t="shared" si="14"/>
        <v>24975.878400401147</v>
      </c>
      <c r="E398">
        <f t="shared" si="15"/>
        <v>325223.6280026327</v>
      </c>
    </row>
    <row r="399" spans="2:5" x14ac:dyDescent="0.3">
      <c r="B399">
        <v>158.44549377798103</v>
      </c>
      <c r="C399">
        <v>2075.3774404292926</v>
      </c>
      <c r="D399">
        <f t="shared" si="14"/>
        <v>25104.974498548225</v>
      </c>
      <c r="E399">
        <f t="shared" si="15"/>
        <v>328834.20332450169</v>
      </c>
    </row>
    <row r="400" spans="2:5" x14ac:dyDescent="0.3">
      <c r="B400">
        <v>158.59938028152101</v>
      </c>
      <c r="C400">
        <v>2095.9774954244494</v>
      </c>
      <c r="D400">
        <f t="shared" si="14"/>
        <v>25153.763425682515</v>
      </c>
      <c r="E400">
        <f t="shared" si="15"/>
        <v>332420.73185833223</v>
      </c>
    </row>
    <row r="401" spans="2:5" x14ac:dyDescent="0.3">
      <c r="B401">
        <v>159.93988452246413</v>
      </c>
      <c r="C401">
        <v>2114.4675227114931</v>
      </c>
      <c r="D401">
        <f t="shared" si="14"/>
        <v>25580.766661059159</v>
      </c>
      <c r="E401">
        <f t="shared" si="15"/>
        <v>338187.69140897697</v>
      </c>
    </row>
    <row r="402" spans="2:5" x14ac:dyDescent="0.3">
      <c r="B402">
        <v>170.41235221549869</v>
      </c>
      <c r="C402">
        <v>2123.3532859478146</v>
      </c>
      <c r="D402">
        <f t="shared" si="14"/>
        <v>29040.36978761918</v>
      </c>
      <c r="E402">
        <f t="shared" si="15"/>
        <v>361845.6280428755</v>
      </c>
    </row>
    <row r="403" spans="2:5" x14ac:dyDescent="0.3">
      <c r="B403">
        <v>174.86851245630533</v>
      </c>
      <c r="C403">
        <v>2132.611942011863</v>
      </c>
      <c r="D403">
        <f t="shared" si="14"/>
        <v>30578.996648681012</v>
      </c>
      <c r="E403">
        <f t="shared" si="15"/>
        <v>372926.67794616695</v>
      </c>
    </row>
    <row r="404" spans="2:5" x14ac:dyDescent="0.3">
      <c r="B404">
        <v>177.39181455690414</v>
      </c>
      <c r="C404">
        <v>2202.4793250020593</v>
      </c>
      <c r="D404">
        <f t="shared" si="14"/>
        <v>31467.855871791067</v>
      </c>
      <c r="E404">
        <f t="shared" si="15"/>
        <v>390701.80398618069</v>
      </c>
    </row>
    <row r="405" spans="2:5" x14ac:dyDescent="0.3">
      <c r="B405">
        <v>193.49314495921135</v>
      </c>
      <c r="C405">
        <v>2339.4674169830978</v>
      </c>
      <c r="D405">
        <f t="shared" si="14"/>
        <v>37439.597146206375</v>
      </c>
      <c r="E405">
        <f t="shared" si="15"/>
        <v>452670.9080416623</v>
      </c>
    </row>
    <row r="406" spans="2:5" x14ac:dyDescent="0.3">
      <c r="B406">
        <v>196.60143405199051</v>
      </c>
      <c r="C406">
        <v>2411.390257999301</v>
      </c>
      <c r="D406">
        <f t="shared" si="14"/>
        <v>38652.123871299176</v>
      </c>
      <c r="E406">
        <f t="shared" si="15"/>
        <v>474082.78278166195</v>
      </c>
    </row>
  </sheetData>
  <sortState ref="B7:B406">
    <sortCondition ref="B7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E3:O20"/>
  <sheetViews>
    <sheetView tabSelected="1" workbookViewId="0">
      <selection activeCell="K10" sqref="K10"/>
    </sheetView>
  </sheetViews>
  <sheetFormatPr defaultRowHeight="14.4" x14ac:dyDescent="0.3"/>
  <sheetData>
    <row r="3" spans="5:15" ht="15" thickBot="1" x14ac:dyDescent="0.35"/>
    <row r="4" spans="5:15" x14ac:dyDescent="0.3">
      <c r="E4" s="9" t="s">
        <v>19</v>
      </c>
      <c r="F4" s="10"/>
      <c r="G4" s="10"/>
      <c r="H4" s="10"/>
      <c r="I4" s="10"/>
      <c r="J4" s="10"/>
      <c r="K4" s="10"/>
      <c r="L4" s="10"/>
      <c r="M4" s="10"/>
      <c r="N4" s="10"/>
      <c r="O4" s="11"/>
    </row>
    <row r="5" spans="5:15" ht="15" thickBot="1" x14ac:dyDescent="0.35">
      <c r="E5" s="12"/>
      <c r="F5" s="13"/>
      <c r="G5" s="13"/>
      <c r="H5" s="13"/>
      <c r="I5" s="13"/>
      <c r="J5" s="13"/>
      <c r="K5" s="13"/>
      <c r="L5" s="13"/>
      <c r="M5" s="13"/>
      <c r="N5" s="13"/>
      <c r="O5" s="14"/>
    </row>
    <row r="6" spans="5:15" ht="15" thickBot="1" x14ac:dyDescent="0.35">
      <c r="E6" s="12" t="s">
        <v>20</v>
      </c>
      <c r="F6" s="13"/>
      <c r="G6" s="18">
        <v>20</v>
      </c>
      <c r="H6" s="13"/>
      <c r="I6" s="13"/>
      <c r="J6" s="13" t="s">
        <v>22</v>
      </c>
      <c r="K6" s="18">
        <f>15.402*Лист2!G6-530.2</f>
        <v>-222.16000000000008</v>
      </c>
      <c r="L6" s="13"/>
      <c r="M6" s="13"/>
      <c r="N6" s="13"/>
      <c r="O6" s="14"/>
    </row>
    <row r="7" spans="5:15" x14ac:dyDescent="0.3">
      <c r="E7" s="12"/>
      <c r="F7" s="13"/>
      <c r="G7" s="13"/>
      <c r="H7" s="13"/>
      <c r="I7" s="13"/>
      <c r="J7" s="13"/>
      <c r="K7" s="13"/>
      <c r="L7" s="13"/>
      <c r="M7" s="13"/>
      <c r="N7" s="13"/>
      <c r="O7" s="14"/>
    </row>
    <row r="8" spans="5:15" ht="15" thickBot="1" x14ac:dyDescent="0.35">
      <c r="E8" s="12"/>
      <c r="F8" s="13"/>
      <c r="G8" s="13"/>
      <c r="H8" s="13"/>
      <c r="I8" s="13"/>
      <c r="J8" s="13"/>
      <c r="K8" s="13"/>
      <c r="L8" s="13"/>
      <c r="M8" s="13"/>
      <c r="N8" s="13"/>
      <c r="O8" s="14"/>
    </row>
    <row r="9" spans="5:15" ht="15" thickBot="1" x14ac:dyDescent="0.35">
      <c r="E9" s="12" t="s">
        <v>21</v>
      </c>
      <c r="F9" s="13"/>
      <c r="G9" s="18">
        <v>5000</v>
      </c>
      <c r="H9" s="13"/>
      <c r="I9" s="13"/>
      <c r="J9" s="13" t="s">
        <v>22</v>
      </c>
      <c r="K9" s="18">
        <f>(G9+530.2)/15.412</f>
        <v>358.82429275888916</v>
      </c>
      <c r="L9" s="13"/>
      <c r="M9" s="13"/>
      <c r="N9" s="13"/>
      <c r="O9" s="14"/>
    </row>
    <row r="10" spans="5:15" x14ac:dyDescent="0.3">
      <c r="E10" s="12"/>
      <c r="F10" s="13"/>
      <c r="G10" s="13"/>
      <c r="H10" s="13"/>
      <c r="I10" s="13"/>
      <c r="J10" s="13"/>
      <c r="K10" s="13"/>
      <c r="L10" s="13"/>
      <c r="M10" s="13"/>
      <c r="N10" s="13"/>
      <c r="O10" s="14"/>
    </row>
    <row r="11" spans="5:15" x14ac:dyDescent="0.3">
      <c r="E11" s="12"/>
      <c r="F11" s="13"/>
      <c r="G11" s="13"/>
      <c r="H11" s="13"/>
      <c r="I11" s="13"/>
      <c r="J11" s="13"/>
      <c r="K11" s="13"/>
      <c r="L11" s="13"/>
      <c r="M11" s="13"/>
      <c r="N11" s="13"/>
      <c r="O11" s="14"/>
    </row>
    <row r="12" spans="5:15" x14ac:dyDescent="0.3">
      <c r="E12" s="12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5:15" x14ac:dyDescent="0.3">
      <c r="E13" s="12"/>
      <c r="F13" s="13"/>
      <c r="G13" s="13"/>
      <c r="H13" s="13"/>
      <c r="I13" s="13"/>
      <c r="J13" s="13"/>
      <c r="K13" s="13"/>
      <c r="L13" s="13"/>
      <c r="M13" s="13"/>
      <c r="N13" s="13"/>
      <c r="O13" s="14"/>
    </row>
    <row r="14" spans="5:15" x14ac:dyDescent="0.3">
      <c r="E14" s="12"/>
      <c r="F14" s="13"/>
      <c r="G14" s="13"/>
      <c r="H14" s="13"/>
      <c r="I14" s="13"/>
      <c r="J14" s="13"/>
      <c r="K14" s="13"/>
      <c r="L14" s="13"/>
      <c r="M14" s="13"/>
      <c r="N14" s="13"/>
      <c r="O14" s="14"/>
    </row>
    <row r="15" spans="5:15" x14ac:dyDescent="0.3">
      <c r="E15" s="12"/>
      <c r="F15" s="13"/>
      <c r="G15" s="13"/>
      <c r="H15" s="13"/>
      <c r="I15" s="13"/>
      <c r="J15" s="13"/>
      <c r="K15" s="13"/>
      <c r="L15" s="13"/>
      <c r="M15" s="13"/>
      <c r="N15" s="13"/>
      <c r="O15" s="14"/>
    </row>
    <row r="16" spans="5:15" x14ac:dyDescent="0.3">
      <c r="E16" s="12"/>
      <c r="F16" s="13"/>
      <c r="G16" s="13"/>
      <c r="H16" s="13"/>
      <c r="I16" s="13"/>
      <c r="J16" s="13"/>
      <c r="K16" s="13"/>
      <c r="L16" s="13"/>
      <c r="M16" s="13"/>
      <c r="N16" s="13"/>
      <c r="O16" s="14"/>
    </row>
    <row r="17" spans="5:15" x14ac:dyDescent="0.3">
      <c r="E17" s="12"/>
      <c r="F17" s="13"/>
      <c r="G17" s="13"/>
      <c r="H17" s="13"/>
      <c r="I17" s="13"/>
      <c r="J17" s="13"/>
      <c r="K17" s="13"/>
      <c r="L17" s="13"/>
      <c r="M17" s="13"/>
      <c r="N17" s="13"/>
      <c r="O17" s="14"/>
    </row>
    <row r="18" spans="5:15" x14ac:dyDescent="0.3">
      <c r="E18" s="12"/>
      <c r="F18" s="13"/>
      <c r="G18" s="13"/>
      <c r="H18" s="13"/>
      <c r="I18" s="13"/>
      <c r="J18" s="13"/>
      <c r="K18" s="13"/>
      <c r="L18" s="13"/>
      <c r="M18" s="13"/>
      <c r="N18" s="13"/>
      <c r="O18" s="14"/>
    </row>
    <row r="19" spans="5:15" x14ac:dyDescent="0.3">
      <c r="E19" s="12"/>
      <c r="F19" s="13"/>
      <c r="G19" s="13"/>
      <c r="H19" s="13"/>
      <c r="I19" s="13"/>
      <c r="J19" s="13"/>
      <c r="K19" s="13"/>
      <c r="L19" s="13"/>
      <c r="M19" s="13"/>
      <c r="N19" s="13"/>
      <c r="O19" s="14"/>
    </row>
    <row r="20" spans="5:15" ht="15" thickBot="1" x14ac:dyDescent="0.35">
      <c r="E20" s="15"/>
      <c r="F20" s="16"/>
      <c r="G20" s="16"/>
      <c r="H20" s="16"/>
      <c r="I20" s="16"/>
      <c r="J20" s="16"/>
      <c r="K20" s="16"/>
      <c r="L20" s="16"/>
      <c r="M20" s="16"/>
      <c r="N20" s="16"/>
      <c r="O20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вычисление_кредита">
                <anchor moveWithCells="1">
                  <from>
                    <xdr:col>11</xdr:col>
                    <xdr:colOff>464820</xdr:colOff>
                    <xdr:row>4</xdr:row>
                    <xdr:rowOff>160020</xdr:rowOff>
                  </from>
                  <to>
                    <xdr:col>13</xdr:col>
                    <xdr:colOff>594360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вычесление_дохода">
                <anchor moveWithCells="1" sizeWithCells="1">
                  <from>
                    <xdr:col>11</xdr:col>
                    <xdr:colOff>472440</xdr:colOff>
                    <xdr:row>7</xdr:row>
                    <xdr:rowOff>144780</xdr:rowOff>
                  </from>
                  <to>
                    <xdr:col>13</xdr:col>
                    <xdr:colOff>586740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</dc:creator>
  <cp:lastModifiedBy>Никита</cp:lastModifiedBy>
  <dcterms:created xsi:type="dcterms:W3CDTF">2023-03-29T10:11:53Z</dcterms:created>
  <dcterms:modified xsi:type="dcterms:W3CDTF">2023-04-03T12:41:17Z</dcterms:modified>
</cp:coreProperties>
</file>